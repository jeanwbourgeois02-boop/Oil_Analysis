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en_Block3" sheetId="1" state="visible" r:id="rId1"/>
    <sheet name="Tickerliste" sheetId="2" state="visible" r:id="rId2"/>
    <sheet name="Anleitung"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sz val="13"/>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left"/>
    </xf>
    <xf numFmtId="0" fontId="1" fillId="2" borderId="0" pivotButton="0" quotePrefix="0" xfId="0"/>
    <xf numFmtId="164"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10" customWidth="1" min="4" max="4"/>
    <col width="14" customWidth="1" min="5" max="5"/>
    <col width="10" customWidth="1" min="6" max="6"/>
    <col width="14" customWidth="1" min="7" max="7"/>
    <col width="10" customWidth="1" min="8" max="8"/>
    <col width="14" customWidth="1" min="9" max="9"/>
    <col width="10" customWidth="1" min="10" max="10"/>
    <col width="14" customWidth="1" min="11" max="11"/>
    <col width="10" customWidth="1" min="12" max="12"/>
    <col width="14" customWidth="1" min="13" max="13"/>
    <col width="10" customWidth="1" min="14" max="14"/>
    <col width="14" customWidth="1" min="15" max="15"/>
    <col width="10"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 width="14" customWidth="1" min="25" max="25"/>
    <col width="10" customWidth="1" min="26" max="26"/>
    <col width="14" customWidth="1" min="27" max="27"/>
    <col width="10" customWidth="1" min="28" max="28"/>
    <col width="14" customWidth="1" min="29" max="29"/>
    <col width="10" customWidth="1" min="30" max="30"/>
    <col width="14" customWidth="1" min="31" max="31"/>
    <col width="10" customWidth="1" min="32" max="32"/>
  </cols>
  <sheetData>
    <row r="1">
      <c r="A1" s="1" t="inlineStr">
        <is>
          <t>XBM16 Comdty</t>
        </is>
      </c>
      <c r="C1" s="1" t="inlineStr">
        <is>
          <t>HOM16 Comdty</t>
        </is>
      </c>
      <c r="E1" s="1" t="inlineStr">
        <is>
          <t>XBZ16 Comdty</t>
        </is>
      </c>
      <c r="G1" s="1" t="inlineStr">
        <is>
          <t>HOZ16 Comdty</t>
        </is>
      </c>
      <c r="I1" s="1" t="inlineStr">
        <is>
          <t>XBM17 Comdty</t>
        </is>
      </c>
      <c r="K1" s="1" t="inlineStr">
        <is>
          <t>HOM17 Comdty</t>
        </is>
      </c>
      <c r="M1" s="1" t="inlineStr">
        <is>
          <t>XBZ17 Comdty</t>
        </is>
      </c>
      <c r="O1" s="1" t="inlineStr">
        <is>
          <t>HOZ17 Comdty</t>
        </is>
      </c>
      <c r="Q1" s="1" t="inlineStr">
        <is>
          <t>XBM18 Comdty</t>
        </is>
      </c>
      <c r="S1" s="1" t="inlineStr">
        <is>
          <t>HOM18 Comdty</t>
        </is>
      </c>
      <c r="U1" s="1" t="inlineStr">
        <is>
          <t>XBZ18 Comdty</t>
        </is>
      </c>
      <c r="W1" s="1" t="inlineStr">
        <is>
          <t>HOZ18 Comdty</t>
        </is>
      </c>
      <c r="Y1" s="1" t="inlineStr">
        <is>
          <t>XBM19 Comdty</t>
        </is>
      </c>
      <c r="AA1" s="1" t="inlineStr">
        <is>
          <t>HOM19 Comdty</t>
        </is>
      </c>
      <c r="AC1" s="1" t="inlineStr">
        <is>
          <t>XBZ19 Comdty</t>
        </is>
      </c>
      <c r="AE1" s="1" t="inlineStr">
        <is>
          <t>HOZ19 Comdty</t>
        </is>
      </c>
    </row>
    <row r="2">
      <c r="A2">
        <f>BDH(A1,"PX_LAST","20120601","20271231","Days=T","Dts=S","Sort=A","Dir=V")</f>
        <v/>
      </c>
      <c r="C2">
        <f>BDH(C1,"PX_LAST","20120601","20271231","Days=T","Dts=S","Sort=A","Dir=V")</f>
        <v/>
      </c>
      <c r="E2">
        <f>BDH(E1,"PX_LAST","20120601","20271231","Days=T","Dts=S","Sort=A","Dir=V")</f>
        <v/>
      </c>
      <c r="G2">
        <f>BDH(G1,"PX_LAST","20120601","20271231","Days=T","Dts=S","Sort=A","Dir=V")</f>
        <v/>
      </c>
      <c r="I2">
        <f>BDH(I1,"PX_LAST","20120601","20271231","Days=T","Dts=S","Sort=A","Dir=V")</f>
        <v/>
      </c>
      <c r="K2">
        <f>BDH(K1,"PX_LAST","20120601","20271231","Days=T","Dts=S","Sort=A","Dir=V")</f>
        <v/>
      </c>
      <c r="M2">
        <f>BDH(M1,"PX_LAST","20120601","20271231","Days=T","Dts=S","Sort=A","Dir=V")</f>
        <v/>
      </c>
      <c r="O2">
        <f>BDH(O1,"PX_LAST","20120601","20271231","Days=T","Dts=S","Sort=A","Dir=V")</f>
        <v/>
      </c>
      <c r="Q2">
        <f>BDH(Q1,"PX_LAST","20120601","20271231","Days=T","Dts=S","Sort=A","Dir=V")</f>
        <v/>
      </c>
      <c r="S2">
        <f>BDH(S1,"PX_LAST","20120601","20271231","Days=T","Dts=S","Sort=A","Dir=V")</f>
        <v/>
      </c>
      <c r="U2">
        <f>BDH(U1,"PX_LAST","20120601","20271231","Days=T","Dts=S","Sort=A","Dir=V")</f>
        <v/>
      </c>
      <c r="W2">
        <f>BDH(W1,"PX_LAST","20120601","20271231","Days=T","Dts=S","Sort=A","Dir=V")</f>
        <v/>
      </c>
      <c r="Y2">
        <f>BDH(Y1,"PX_LAST","20120601","20271231","Days=T","Dts=S","Sort=A","Dir=V")</f>
        <v/>
      </c>
      <c r="AA2">
        <f>BDH(AA1,"PX_LAST","20120601","20271231","Days=T","Dts=S","Sort=A","Dir=V")</f>
        <v/>
      </c>
      <c r="AC2">
        <f>BDH(AC1,"PX_LAST","20120601","20271231","Days=T","Dts=S","Sort=A","Dir=V")</f>
        <v/>
      </c>
      <c r="AE2">
        <f>BDH(AE1,"PX_LAST","20120601","20271231","Days=T","Dts=S","Sort=A","Dir=V")</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70" customWidth="1" min="3" max="3"/>
    <col width="34" customWidth="1" min="4" max="4"/>
    <col width="40" customWidth="1" min="5" max="5"/>
  </cols>
  <sheetData>
    <row r="1">
      <c r="A1" s="2" t="inlineStr">
        <is>
          <t>Ticker (zweistellig)</t>
        </is>
      </c>
      <c r="B1" s="2" t="inlineStr">
        <is>
          <t>Ersatzform (einstellig)</t>
        </is>
      </c>
      <c r="C1" s="2" t="inlineStr">
        <is>
          <t>Beschreibung</t>
        </is>
      </c>
      <c r="D1" s="2" t="inlineStr">
        <is>
          <t>Erwarteter letzter Handelstag (ca.)</t>
        </is>
      </c>
      <c r="E1" s="2" t="inlineStr">
        <is>
          <t>Status (Stand 2026-09-23)</t>
        </is>
      </c>
    </row>
    <row r="2">
      <c r="A2" t="inlineStr">
        <is>
          <t>XBM16 Comdty</t>
        </is>
      </c>
      <c r="B2" t="inlineStr">
        <is>
          <t>XBM6 Comdty</t>
        </is>
      </c>
      <c r="C2" t="inlineStr">
        <is>
          <t>RBOB Gasoline (NYMEX, Root XB) | Jun-Bein | Jahrgang 2016 | Kontrakt Jun 2016</t>
        </is>
      </c>
      <c r="D2" s="3" t="n">
        <v>42521</v>
      </c>
      <c r="E2" t="inlineStr">
        <is>
          <t>abgelaufen</t>
        </is>
      </c>
    </row>
    <row r="3">
      <c r="A3" t="inlineStr">
        <is>
          <t>HOM16 Comdty</t>
        </is>
      </c>
      <c r="B3" t="inlineStr">
        <is>
          <t>HOM6 Comdty</t>
        </is>
      </c>
      <c r="C3" t="inlineStr">
        <is>
          <t>NY Harbor ULSD (NYMEX, Root HO) | Jun-Bein | Jahrgang 2016 | Kontrakt Jun 2016</t>
        </is>
      </c>
      <c r="D3" s="3" t="n">
        <v>42521</v>
      </c>
      <c r="E3" t="inlineStr">
        <is>
          <t>abgelaufen</t>
        </is>
      </c>
    </row>
    <row r="4">
      <c r="A4" t="inlineStr">
        <is>
          <t>XBZ16 Comdty</t>
        </is>
      </c>
      <c r="B4" t="inlineStr">
        <is>
          <t>XBZ6 Comdty</t>
        </is>
      </c>
      <c r="C4" t="inlineStr">
        <is>
          <t>RBOB Gasoline (NYMEX, Root XB) | Dez-Bein | Jahrgang 2016 | Kontrakt Dez 2016</t>
        </is>
      </c>
      <c r="D4" s="3" t="n">
        <v>42704</v>
      </c>
      <c r="E4" t="inlineStr">
        <is>
          <t>abgelaufen</t>
        </is>
      </c>
    </row>
    <row r="5">
      <c r="A5" t="inlineStr">
        <is>
          <t>HOZ16 Comdty</t>
        </is>
      </c>
      <c r="B5" t="inlineStr">
        <is>
          <t>HOZ6 Comdty</t>
        </is>
      </c>
      <c r="C5" t="inlineStr">
        <is>
          <t>NY Harbor ULSD (NYMEX, Root HO) | Dez-Bein | Jahrgang 2016 | Kontrakt Dez 2016</t>
        </is>
      </c>
      <c r="D5" s="3" t="n">
        <v>42704</v>
      </c>
      <c r="E5" t="inlineStr">
        <is>
          <t>abgelaufen</t>
        </is>
      </c>
    </row>
    <row r="6">
      <c r="A6" t="inlineStr">
        <is>
          <t>XBM17 Comdty</t>
        </is>
      </c>
      <c r="B6" t="inlineStr">
        <is>
          <t>XBM7 Comdty</t>
        </is>
      </c>
      <c r="C6" t="inlineStr">
        <is>
          <t>RBOB Gasoline (NYMEX, Root XB) | Jun-Bein | Jahrgang 2017 | Kontrakt Jun 2017</t>
        </is>
      </c>
      <c r="D6" s="3" t="n">
        <v>42886</v>
      </c>
      <c r="E6" t="inlineStr">
        <is>
          <t>abgelaufen</t>
        </is>
      </c>
    </row>
    <row r="7">
      <c r="A7" t="inlineStr">
        <is>
          <t>HOM17 Comdty</t>
        </is>
      </c>
      <c r="B7" t="inlineStr">
        <is>
          <t>HOM7 Comdty</t>
        </is>
      </c>
      <c r="C7" t="inlineStr">
        <is>
          <t>NY Harbor ULSD (NYMEX, Root HO) | Jun-Bein | Jahrgang 2017 | Kontrakt Jun 2017</t>
        </is>
      </c>
      <c r="D7" s="3" t="n">
        <v>42886</v>
      </c>
      <c r="E7" t="inlineStr">
        <is>
          <t>abgelaufen</t>
        </is>
      </c>
    </row>
    <row r="8">
      <c r="A8" t="inlineStr">
        <is>
          <t>XBZ17 Comdty</t>
        </is>
      </c>
      <c r="B8" t="inlineStr">
        <is>
          <t>XBZ7 Comdty</t>
        </is>
      </c>
      <c r="C8" t="inlineStr">
        <is>
          <t>RBOB Gasoline (NYMEX, Root XB) | Dez-Bein | Jahrgang 2017 | Kontrakt Dez 2017</t>
        </is>
      </c>
      <c r="D8" s="3" t="n">
        <v>43069</v>
      </c>
      <c r="E8" t="inlineStr">
        <is>
          <t>abgelaufen</t>
        </is>
      </c>
    </row>
    <row r="9">
      <c r="A9" t="inlineStr">
        <is>
          <t>HOZ17 Comdty</t>
        </is>
      </c>
      <c r="B9" t="inlineStr">
        <is>
          <t>HOZ7 Comdty</t>
        </is>
      </c>
      <c r="C9" t="inlineStr">
        <is>
          <t>NY Harbor ULSD (NYMEX, Root HO) | Dez-Bein | Jahrgang 2017 | Kontrakt Dez 2017</t>
        </is>
      </c>
      <c r="D9" s="3" t="n">
        <v>43069</v>
      </c>
      <c r="E9" t="inlineStr">
        <is>
          <t>abgelaufen</t>
        </is>
      </c>
    </row>
    <row r="10">
      <c r="A10" t="inlineStr">
        <is>
          <t>XBM18 Comdty</t>
        </is>
      </c>
      <c r="B10" t="inlineStr">
        <is>
          <t>XBM8 Comdty</t>
        </is>
      </c>
      <c r="C10" t="inlineStr">
        <is>
          <t>RBOB Gasoline (NYMEX, Root XB) | Jun-Bein | Jahrgang 2018 | Kontrakt Jun 2018</t>
        </is>
      </c>
      <c r="D10" s="3" t="n">
        <v>43251</v>
      </c>
      <c r="E10" t="inlineStr">
        <is>
          <t>abgelaufen</t>
        </is>
      </c>
    </row>
    <row r="11">
      <c r="A11" t="inlineStr">
        <is>
          <t>HOM18 Comdty</t>
        </is>
      </c>
      <c r="B11" t="inlineStr">
        <is>
          <t>HOM8 Comdty</t>
        </is>
      </c>
      <c r="C11" t="inlineStr">
        <is>
          <t>NY Harbor ULSD (NYMEX, Root HO) | Jun-Bein | Jahrgang 2018 | Kontrakt Jun 2018</t>
        </is>
      </c>
      <c r="D11" s="3" t="n">
        <v>43251</v>
      </c>
      <c r="E11" t="inlineStr">
        <is>
          <t>abgelaufen</t>
        </is>
      </c>
    </row>
    <row r="12">
      <c r="A12" t="inlineStr">
        <is>
          <t>XBZ18 Comdty</t>
        </is>
      </c>
      <c r="B12" t="inlineStr">
        <is>
          <t>XBZ8 Comdty</t>
        </is>
      </c>
      <c r="C12" t="inlineStr">
        <is>
          <t>RBOB Gasoline (NYMEX, Root XB) | Dez-Bein | Jahrgang 2018 | Kontrakt Dez 2018</t>
        </is>
      </c>
      <c r="D12" s="3" t="n">
        <v>43434</v>
      </c>
      <c r="E12" t="inlineStr">
        <is>
          <t>abgelaufen</t>
        </is>
      </c>
    </row>
    <row r="13">
      <c r="A13" t="inlineStr">
        <is>
          <t>HOZ18 Comdty</t>
        </is>
      </c>
      <c r="B13" t="inlineStr">
        <is>
          <t>HOZ8 Comdty</t>
        </is>
      </c>
      <c r="C13" t="inlineStr">
        <is>
          <t>NY Harbor ULSD (NYMEX, Root HO) | Dez-Bein | Jahrgang 2018 | Kontrakt Dez 2018</t>
        </is>
      </c>
      <c r="D13" s="3" t="n">
        <v>43434</v>
      </c>
      <c r="E13" t="inlineStr">
        <is>
          <t>abgelaufen</t>
        </is>
      </c>
    </row>
    <row r="14">
      <c r="A14" t="inlineStr">
        <is>
          <t>XBM19 Comdty</t>
        </is>
      </c>
      <c r="B14" t="inlineStr">
        <is>
          <t>XBM9 Comdty</t>
        </is>
      </c>
      <c r="C14" t="inlineStr">
        <is>
          <t>RBOB Gasoline (NYMEX, Root XB) | Jun-Bein | Jahrgang 2019 | Kontrakt Jun 2019</t>
        </is>
      </c>
      <c r="D14" s="3" t="n">
        <v>43616</v>
      </c>
      <c r="E14" t="inlineStr">
        <is>
          <t>abgelaufen</t>
        </is>
      </c>
    </row>
    <row r="15">
      <c r="A15" t="inlineStr">
        <is>
          <t>HOM19 Comdty</t>
        </is>
      </c>
      <c r="B15" t="inlineStr">
        <is>
          <t>HOM9 Comdty</t>
        </is>
      </c>
      <c r="C15" t="inlineStr">
        <is>
          <t>NY Harbor ULSD (NYMEX, Root HO) | Jun-Bein | Jahrgang 2019 | Kontrakt Jun 2019</t>
        </is>
      </c>
      <c r="D15" s="3" t="n">
        <v>43616</v>
      </c>
      <c r="E15" t="inlineStr">
        <is>
          <t>abgelaufen</t>
        </is>
      </c>
    </row>
    <row r="16">
      <c r="A16" t="inlineStr">
        <is>
          <t>XBZ19 Comdty</t>
        </is>
      </c>
      <c r="B16" t="inlineStr">
        <is>
          <t>XBZ9 Comdty</t>
        </is>
      </c>
      <c r="C16" t="inlineStr">
        <is>
          <t>RBOB Gasoline (NYMEX, Root XB) | Dez-Bein | Jahrgang 2019 | Kontrakt Dez 2019</t>
        </is>
      </c>
      <c r="D16" s="3" t="n">
        <v>43798</v>
      </c>
      <c r="E16" t="inlineStr">
        <is>
          <t>abgelaufen</t>
        </is>
      </c>
    </row>
    <row r="17">
      <c r="A17" t="inlineStr">
        <is>
          <t>HOZ19 Comdty</t>
        </is>
      </c>
      <c r="B17" t="inlineStr">
        <is>
          <t>HOZ9 Comdty</t>
        </is>
      </c>
      <c r="C17" t="inlineStr">
        <is>
          <t>NY Harbor ULSD (NYMEX, Root HO) | Dez-Bein | Jahrgang 2019 | Kontrakt Dez 2019</t>
        </is>
      </c>
      <c r="D17" s="3" t="n">
        <v>43798</v>
      </c>
      <c r="E17" t="inlineStr">
        <is>
          <t>abgelaufen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30" customWidth="1" min="1" max="1"/>
  </cols>
  <sheetData>
    <row r="1">
      <c r="A1" s="4" t="inlineStr">
        <is>
          <t>Bloomberg-Pull RB/HO Jun-vs-Dec Spread - Kurzanleitung (ausfuehrlich: bloomberg/ANLEITUNG_BLOOMBERG.md)</t>
        </is>
      </c>
    </row>
    <row r="2">
      <c r="A2" s="5" t="inlineStr"/>
    </row>
    <row r="3">
      <c r="A3" s="5" t="inlineStr">
        <is>
          <t>Ziel: Am Ende muss auf dem Analyse-PC die Datei data/raw/bloomberg_export.xlsx (oder .csv) liegen, mit Tageskursen (PX_LAST) fuer alle 60 Ticker ab 01.06.2012.</t>
        </is>
      </c>
    </row>
    <row r="4">
      <c r="A4" s="5" t="inlineStr"/>
    </row>
    <row r="5">
      <c r="A5" s="6" t="inlineStr">
        <is>
          <t>Weg A - Blatt 'Daten' mit dem Excel-Add-in (empfohlen)</t>
        </is>
      </c>
    </row>
    <row r="6">
      <c r="A6" s="5" t="inlineStr">
        <is>
          <t>1. Diese Datei auf den Bloomberg-PC kopieren und in Excel oeffnen. Das Bloomberg-Add-in muss geladen sein (Menueband-Reiter 'Bloomberg' sichtbar, Terminal angemeldet).</t>
        </is>
      </c>
    </row>
    <row r="7">
      <c r="A7" s="5" t="inlineStr">
        <is>
          <t>2. Zeigen die Zellen in Zeile 2 '#NAME?' oder bleiben leer: Strg+Alt+F9 (vollstaendige Neuberechnung) druecken und warten, bis die Bloomberg-Anzeige in der Excel-Statusleiste nichts mehr laedt.</t>
        </is>
      </c>
    </row>
    <row r="8">
      <c r="A8" s="5" t="inlineStr">
        <is>
          <t>3. Pruefen: Jede Tickerspalte hat mehrere hundert Zeilen (abgelaufene Kontrakte ca. 600-750 Zeilen, Jahrgang 2013 weniger, weil der Pull erst am 01.06.2012 beginnt).</t>
        </is>
      </c>
    </row>
    <row r="9">
      <c r="A9" s="5" t="inlineStr">
        <is>
          <t>4. Liefert ein noch laufender Kontrakt (Dez 2026, Jun 2027, Dez 2027) nur '#N/A' oder 'Invalid security': den Tickertext in Zeile 1 durch die einstellige Form aus Blatt 'Tickerliste' ersetzen (z.B. 'XBZ26 Comdty' -&gt; 'XBZ6 Comdty'), dann erneut Strg+Alt+F9.</t>
        </is>
      </c>
    </row>
    <row r="10">
      <c r="A10" s="5" t="inlineStr">
        <is>
          <t>5. WICHTIG - Formeln in Werte umwandeln: Strg+A, Strg+C, Rechtsklick -&gt; Inhalte einfuegen -&gt; Werte. Ohne diesen Schritt ist die Datei auf einem PC ohne Bloomberg leer.</t>
        </is>
      </c>
    </row>
    <row r="11">
      <c r="A11" s="5" t="inlineStr">
        <is>
          <t>6. Speichern unter: bloomberg_export.xlsx (Dateityp Excel-Arbeitsmappe .xlsx).</t>
        </is>
      </c>
    </row>
    <row r="12">
      <c r="A12" s="5" t="inlineStr">
        <is>
          <t>7. Datei auf den Analyse-PC in den Projektordner data/raw/ kopieren.</t>
        </is>
      </c>
    </row>
    <row r="13">
      <c r="A13" s="5" t="inlineStr"/>
    </row>
    <row r="14">
      <c r="A14" s="6" t="inlineStr">
        <is>
          <t>Weg C - Bloomberg Spreadsheet Builder (Ersatzweg)</t>
        </is>
      </c>
    </row>
    <row r="15">
      <c r="A15" s="5" t="inlineStr">
        <is>
          <t>Bloomberg-Reiter -&gt; Spreadsheet Builder -&gt; Historical Data Table. Ticker aus Blatt 'Tickerliste', Bereich A2:A61 (bei laufenden Kontrakten ggf. Spalte B). Feld PX_LAST, Start 01.06.2012, taeglich, keine Nicht-Handelstage. Beide Layouts (eine Datumsspalte oder Datum je Ticker) werden vom Loader akzeptiert. Danach ebenfalls in Werte umwandeln und als bloomberg_export.xlsx speichern.</t>
        </is>
      </c>
    </row>
    <row r="16">
      <c r="A16" s="5" t="inlineStr"/>
    </row>
    <row r="17">
      <c r="A17" s="6" t="inlineStr">
        <is>
          <t>Plausibilitaet vor dem Kopieren</t>
        </is>
      </c>
    </row>
    <row r="18">
      <c r="A18" s="5" t="inlineStr">
        <is>
          <t>- Abgelaufene Jun-Kontrakte enden am letzten Geschaeftstag im Mai, Dez-Kontrakte am letzten Geschaeftstag im November (siehe Spalte D in 'Tickerliste').</t>
        </is>
      </c>
    </row>
    <row r="19">
      <c r="A19" s="5" t="inlineStr">
        <is>
          <t>- Kurse sind US-Cent je Gallone: Werte grob zwischen 40 und 450 (z.B. 245.30). NICHT umrechnen, das macht der Loader.</t>
        </is>
      </c>
    </row>
    <row r="20">
      <c r="A20" s="5" t="inlineStr">
        <is>
          <t>- 60 Ticker: XB (RBOB) und HO (ULSD), jeweils Jun und Dez, Jahrgaenge 2013 bis 2027.</t>
        </is>
      </c>
    </row>
    <row r="21">
      <c r="A21" s="5" t="inlineStr"/>
    </row>
    <row r="22">
      <c r="A22" s="5" t="inlineStr">
        <is>
          <t>Warum zwei Tickerformen? Bloomberg fuehrt abgelaufene Kontrakte nur noch zweistellig (XBM13). Die einstellige Form (XBM3) zeigt immer auf den naechsten Kontrakt mit dieser Endziffer, bei alten Jahrgaengen also auf das falsche Jahrzehnt. Bei laufenden Kontrakten loest dagegen manchmal nur die einstellige Form auf.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2026-09-23T04:14:32Z</dcterms:created>
  <dcterms:modified xsi:type="dcterms:W3CDTF">2026-09-23T04:14:32Z</dcterms:modified>
</cp:coreProperties>
</file>