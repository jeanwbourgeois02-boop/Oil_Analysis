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_Block4" sheetId="1" state="visible" r:id="rId1"/>
    <sheet name="Tickerliste" sheetId="2" state="visible" r:id="rId2"/>
    <sheet name="Anleitun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xf>
    <xf numFmtId="0" fontId="1" fillId="2" borderId="0" pivotButton="0" quotePrefix="0" xfId="0"/>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14" customWidth="1" min="5" max="5"/>
    <col width="10" customWidth="1" min="6" max="6"/>
    <col width="14" customWidth="1" min="7" max="7"/>
    <col width="10"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s>
  <sheetData>
    <row r="1">
      <c r="A1" s="1" t="inlineStr">
        <is>
          <t>XBM13 Comdty</t>
        </is>
      </c>
      <c r="C1" s="1" t="inlineStr">
        <is>
          <t>HOM13 Comdty</t>
        </is>
      </c>
      <c r="E1" s="1" t="inlineStr">
        <is>
          <t>XBZ13 Comdty</t>
        </is>
      </c>
      <c r="G1" s="1" t="inlineStr">
        <is>
          <t>HOZ13 Comdty</t>
        </is>
      </c>
      <c r="I1" s="1" t="inlineStr">
        <is>
          <t>XBM14 Comdty</t>
        </is>
      </c>
      <c r="K1" s="1" t="inlineStr">
        <is>
          <t>HOM14 Comdty</t>
        </is>
      </c>
      <c r="M1" s="1" t="inlineStr">
        <is>
          <t>XBZ14 Comdty</t>
        </is>
      </c>
      <c r="O1" s="1" t="inlineStr">
        <is>
          <t>HOZ14 Comdty</t>
        </is>
      </c>
      <c r="Q1" s="1" t="inlineStr">
        <is>
          <t>XBM15 Comdty</t>
        </is>
      </c>
      <c r="S1" s="1" t="inlineStr">
        <is>
          <t>HOM15 Comdty</t>
        </is>
      </c>
      <c r="U1" s="1" t="inlineStr">
        <is>
          <t>XBZ15 Comdty</t>
        </is>
      </c>
      <c r="W1" s="1" t="inlineStr">
        <is>
          <t>HOZ15 Comdty</t>
        </is>
      </c>
    </row>
    <row r="2">
      <c r="A2">
        <f>BDH(A1,"PX_LAST","20120601","20271231","Days=T","Dts=S","Sort=A","Dir=V")</f>
        <v/>
      </c>
      <c r="C2">
        <f>BDH(C1,"PX_LAST","20120601","20271231","Days=T","Dts=S","Sort=A","Dir=V")</f>
        <v/>
      </c>
      <c r="E2">
        <f>BDH(E1,"PX_LAST","20120601","20271231","Days=T","Dts=S","Sort=A","Dir=V")</f>
        <v/>
      </c>
      <c r="G2">
        <f>BDH(G1,"PX_LAST","20120601","20271231","Days=T","Dts=S","Sort=A","Dir=V")</f>
        <v/>
      </c>
      <c r="I2">
        <f>BDH(I1,"PX_LAST","20120601","20271231","Days=T","Dts=S","Sort=A","Dir=V")</f>
        <v/>
      </c>
      <c r="K2">
        <f>BDH(K1,"PX_LAST","20120601","20271231","Days=T","Dts=S","Sort=A","Dir=V")</f>
        <v/>
      </c>
      <c r="M2">
        <f>BDH(M1,"PX_LAST","20120601","20271231","Days=T","Dts=S","Sort=A","Dir=V")</f>
        <v/>
      </c>
      <c r="O2">
        <f>BDH(O1,"PX_LAST","20120601","20271231","Days=T","Dts=S","Sort=A","Dir=V")</f>
        <v/>
      </c>
      <c r="Q2">
        <f>BDH(Q1,"PX_LAST","20120601","20271231","Days=T","Dts=S","Sort=A","Dir=V")</f>
        <v/>
      </c>
      <c r="S2">
        <f>BDH(S1,"PX_LAST","20120601","20271231","Days=T","Dts=S","Sort=A","Dir=V")</f>
        <v/>
      </c>
      <c r="U2">
        <f>BDH(U1,"PX_LAST","20120601","20271231","Days=T","Dts=S","Sort=A","Dir=V")</f>
        <v/>
      </c>
      <c r="W2">
        <f>BDH(W1,"PX_LAST","20120601","20271231","Days=T","Dts=S","Sort=A","Dir=V")</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70" customWidth="1" min="3" max="3"/>
    <col width="34" customWidth="1" min="4" max="4"/>
    <col width="40" customWidth="1" min="5" max="5"/>
  </cols>
  <sheetData>
    <row r="1">
      <c r="A1" s="2" t="inlineStr">
        <is>
          <t>Ticker (zweistellig)</t>
        </is>
      </c>
      <c r="B1" s="2" t="inlineStr">
        <is>
          <t>Ersatzform (einstellig)</t>
        </is>
      </c>
      <c r="C1" s="2" t="inlineStr">
        <is>
          <t>Beschreibung</t>
        </is>
      </c>
      <c r="D1" s="2" t="inlineStr">
        <is>
          <t>Erwarteter letzter Handelstag (ca.)</t>
        </is>
      </c>
      <c r="E1" s="2" t="inlineStr">
        <is>
          <t>Status (Stand 2026-09-23)</t>
        </is>
      </c>
    </row>
    <row r="2">
      <c r="A2" t="inlineStr">
        <is>
          <t>XBM13 Comdty</t>
        </is>
      </c>
      <c r="B2" t="inlineStr">
        <is>
          <t>XBM3 Comdty</t>
        </is>
      </c>
      <c r="C2" t="inlineStr">
        <is>
          <t>RBOB Gasoline (NYMEX, Root XB) | Jun-Bein | Jahrgang 2013 | Kontrakt Jun 2013</t>
        </is>
      </c>
      <c r="D2" s="3" t="n">
        <v>41425</v>
      </c>
      <c r="E2" t="inlineStr">
        <is>
          <t>abgelaufen</t>
        </is>
      </c>
    </row>
    <row r="3">
      <c r="A3" t="inlineStr">
        <is>
          <t>HOM13 Comdty</t>
        </is>
      </c>
      <c r="B3" t="inlineStr">
        <is>
          <t>HOM3 Comdty</t>
        </is>
      </c>
      <c r="C3" t="inlineStr">
        <is>
          <t>NY Harbor ULSD (NYMEX, Root HO) | Jun-Bein | Jahrgang 2013 | Kontrakt Jun 2013</t>
        </is>
      </c>
      <c r="D3" s="3" t="n">
        <v>41425</v>
      </c>
      <c r="E3" t="inlineStr">
        <is>
          <t>abgelaufen</t>
        </is>
      </c>
    </row>
    <row r="4">
      <c r="A4" t="inlineStr">
        <is>
          <t>XBZ13 Comdty</t>
        </is>
      </c>
      <c r="B4" t="inlineStr">
        <is>
          <t>XBZ3 Comdty</t>
        </is>
      </c>
      <c r="C4" t="inlineStr">
        <is>
          <t>RBOB Gasoline (NYMEX, Root XB) | Dez-Bein | Jahrgang 2013 | Kontrakt Dez 2013</t>
        </is>
      </c>
      <c r="D4" s="3" t="n">
        <v>41607</v>
      </c>
      <c r="E4" t="inlineStr">
        <is>
          <t>abgelaufen</t>
        </is>
      </c>
    </row>
    <row r="5">
      <c r="A5" t="inlineStr">
        <is>
          <t>HOZ13 Comdty</t>
        </is>
      </c>
      <c r="B5" t="inlineStr">
        <is>
          <t>HOZ3 Comdty</t>
        </is>
      </c>
      <c r="C5" t="inlineStr">
        <is>
          <t>NY Harbor ULSD (NYMEX, Root HO) | Dez-Bein | Jahrgang 2013 | Kontrakt Dez 2013</t>
        </is>
      </c>
      <c r="D5" s="3" t="n">
        <v>41607</v>
      </c>
      <c r="E5" t="inlineStr">
        <is>
          <t>abgelaufen</t>
        </is>
      </c>
    </row>
    <row r="6">
      <c r="A6" t="inlineStr">
        <is>
          <t>XBM14 Comdty</t>
        </is>
      </c>
      <c r="B6" t="inlineStr">
        <is>
          <t>XBM4 Comdty</t>
        </is>
      </c>
      <c r="C6" t="inlineStr">
        <is>
          <t>RBOB Gasoline (NYMEX, Root XB) | Jun-Bein | Jahrgang 2014 | Kontrakt Jun 2014</t>
        </is>
      </c>
      <c r="D6" s="3" t="n">
        <v>41789</v>
      </c>
      <c r="E6" t="inlineStr">
        <is>
          <t>abgelaufen</t>
        </is>
      </c>
    </row>
    <row r="7">
      <c r="A7" t="inlineStr">
        <is>
          <t>HOM14 Comdty</t>
        </is>
      </c>
      <c r="B7" t="inlineStr">
        <is>
          <t>HOM4 Comdty</t>
        </is>
      </c>
      <c r="C7" t="inlineStr">
        <is>
          <t>NY Harbor ULSD (NYMEX, Root HO) | Jun-Bein | Jahrgang 2014 | Kontrakt Jun 2014</t>
        </is>
      </c>
      <c r="D7" s="3" t="n">
        <v>41789</v>
      </c>
      <c r="E7" t="inlineStr">
        <is>
          <t>abgelaufen</t>
        </is>
      </c>
    </row>
    <row r="8">
      <c r="A8" t="inlineStr">
        <is>
          <t>XBZ14 Comdty</t>
        </is>
      </c>
      <c r="B8" t="inlineStr">
        <is>
          <t>XBZ4 Comdty</t>
        </is>
      </c>
      <c r="C8" t="inlineStr">
        <is>
          <t>RBOB Gasoline (NYMEX, Root XB) | Dez-Bein | Jahrgang 2014 | Kontrakt Dez 2014</t>
        </is>
      </c>
      <c r="D8" s="3" t="n">
        <v>41971</v>
      </c>
      <c r="E8" t="inlineStr">
        <is>
          <t>abgelaufen</t>
        </is>
      </c>
    </row>
    <row r="9">
      <c r="A9" t="inlineStr">
        <is>
          <t>HOZ14 Comdty</t>
        </is>
      </c>
      <c r="B9" t="inlineStr">
        <is>
          <t>HOZ4 Comdty</t>
        </is>
      </c>
      <c r="C9" t="inlineStr">
        <is>
          <t>NY Harbor ULSD (NYMEX, Root HO) | Dez-Bein | Jahrgang 2014 | Kontrakt Dez 2014</t>
        </is>
      </c>
      <c r="D9" s="3" t="n">
        <v>41971</v>
      </c>
      <c r="E9" t="inlineStr">
        <is>
          <t>abgelaufen</t>
        </is>
      </c>
    </row>
    <row r="10">
      <c r="A10" t="inlineStr">
        <is>
          <t>XBM15 Comdty</t>
        </is>
      </c>
      <c r="B10" t="inlineStr">
        <is>
          <t>XBM5 Comdty</t>
        </is>
      </c>
      <c r="C10" t="inlineStr">
        <is>
          <t>RBOB Gasoline (NYMEX, Root XB) | Jun-Bein | Jahrgang 2015 | Kontrakt Jun 2015</t>
        </is>
      </c>
      <c r="D10" s="3" t="n">
        <v>42153</v>
      </c>
      <c r="E10" t="inlineStr">
        <is>
          <t>abgelaufen</t>
        </is>
      </c>
    </row>
    <row r="11">
      <c r="A11" t="inlineStr">
        <is>
          <t>HOM15 Comdty</t>
        </is>
      </c>
      <c r="B11" t="inlineStr">
        <is>
          <t>HOM5 Comdty</t>
        </is>
      </c>
      <c r="C11" t="inlineStr">
        <is>
          <t>NY Harbor ULSD (NYMEX, Root HO) | Jun-Bein | Jahrgang 2015 | Kontrakt Jun 2015</t>
        </is>
      </c>
      <c r="D11" s="3" t="n">
        <v>42153</v>
      </c>
      <c r="E11" t="inlineStr">
        <is>
          <t>abgelaufen</t>
        </is>
      </c>
    </row>
    <row r="12">
      <c r="A12" t="inlineStr">
        <is>
          <t>XBZ15 Comdty</t>
        </is>
      </c>
      <c r="B12" t="inlineStr">
        <is>
          <t>XBZ5 Comdty</t>
        </is>
      </c>
      <c r="C12" t="inlineStr">
        <is>
          <t>RBOB Gasoline (NYMEX, Root XB) | Dez-Bein | Jahrgang 2015 | Kontrakt Dez 2015</t>
        </is>
      </c>
      <c r="D12" s="3" t="n">
        <v>42338</v>
      </c>
      <c r="E12" t="inlineStr">
        <is>
          <t>abgelaufen</t>
        </is>
      </c>
    </row>
    <row r="13">
      <c r="A13" t="inlineStr">
        <is>
          <t>HOZ15 Comdty</t>
        </is>
      </c>
      <c r="B13" t="inlineStr">
        <is>
          <t>HOZ5 Comdty</t>
        </is>
      </c>
      <c r="C13" t="inlineStr">
        <is>
          <t>NY Harbor ULSD (NYMEX, Root HO) | Dez-Bein | Jahrgang 2015 | Kontrakt Dez 2015</t>
        </is>
      </c>
      <c r="D13" s="3" t="n">
        <v>42338</v>
      </c>
      <c r="E13" t="inlineStr">
        <is>
          <t>abgelaufen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4" t="inlineStr">
        <is>
          <t>Bloomberg-Pull RB/HO Jun-vs-Dec Spread - Kurzanleitung (ausfuehrlich: bloomberg/ANLEITUNG_BLOOMBERG.md)</t>
        </is>
      </c>
    </row>
    <row r="2">
      <c r="A2" s="5" t="inlineStr"/>
    </row>
    <row r="3">
      <c r="A3" s="5" t="inlineStr">
        <is>
          <t>Ziel: Am Ende muss auf dem Analyse-PC die Datei data/raw/bloomberg_export.xlsx (oder .csv) liegen, mit Tageskursen (PX_LAST) fuer alle 60 Ticker ab 01.06.2012.</t>
        </is>
      </c>
    </row>
    <row r="4">
      <c r="A4" s="5" t="inlineStr"/>
    </row>
    <row r="5">
      <c r="A5" s="6" t="inlineStr">
        <is>
          <t>Weg A - Blatt 'Daten' mit dem Excel-Add-in (empfohlen)</t>
        </is>
      </c>
    </row>
    <row r="6">
      <c r="A6" s="5" t="inlineStr">
        <is>
          <t>1. Diese Datei auf den Bloomberg-PC kopieren und in Excel oeffnen. Das Bloomberg-Add-in muss geladen sein (Menueband-Reiter 'Bloomberg' sichtbar, Terminal angemeldet).</t>
        </is>
      </c>
    </row>
    <row r="7">
      <c r="A7" s="5" t="inlineStr">
        <is>
          <t>2. Zeigen die Zellen in Zeile 2 '#NAME?' oder bleiben leer: Strg+Alt+F9 (vollstaendige Neuberechnung) druecken und warten, bis die Bloomberg-Anzeige in der Excel-Statusleiste nichts mehr laedt.</t>
        </is>
      </c>
    </row>
    <row r="8">
      <c r="A8" s="5" t="inlineStr">
        <is>
          <t>3. Pruefen: Jede Tickerspalte hat mehrere hundert Zeilen (abgelaufene Kontrakte ca. 600-750 Zeilen, Jahrgang 2013 weniger, weil der Pull erst am 01.06.2012 beginnt).</t>
        </is>
      </c>
    </row>
    <row r="9">
      <c r="A9" s="5" t="inlineStr">
        <is>
          <t>4. Liefert ein noch laufender Kontrakt (Dez 2026, Jun 2027, Dez 2027) nur '#N/A' oder 'Invalid security': den Tickertext in Zeile 1 durch die einstellige Form aus Blatt 'Tickerliste' ersetzen (z.B. 'XBZ26 Comdty' -&gt; 'XBZ6 Comdty'), dann erneut Strg+Alt+F9.</t>
        </is>
      </c>
    </row>
    <row r="10">
      <c r="A10" s="5" t="inlineStr">
        <is>
          <t>5. WICHTIG - Formeln in Werte umwandeln: Strg+A, Strg+C, Rechtsklick -&gt; Inhalte einfuegen -&gt; Werte. Ohne diesen Schritt ist die Datei auf einem PC ohne Bloomberg leer.</t>
        </is>
      </c>
    </row>
    <row r="11">
      <c r="A11" s="5" t="inlineStr">
        <is>
          <t>6. Speichern unter: bloomberg_export.xlsx (Dateityp Excel-Arbeitsmappe .xlsx).</t>
        </is>
      </c>
    </row>
    <row r="12">
      <c r="A12" s="5" t="inlineStr">
        <is>
          <t>7. Datei auf den Analyse-PC in den Projektordner data/raw/ kopieren.</t>
        </is>
      </c>
    </row>
    <row r="13">
      <c r="A13" s="5" t="inlineStr"/>
    </row>
    <row r="14">
      <c r="A14" s="6" t="inlineStr">
        <is>
          <t>Weg C - Bloomberg Spreadsheet Builder (Ersatzweg)</t>
        </is>
      </c>
    </row>
    <row r="15">
      <c r="A15" s="5" t="inlineStr">
        <is>
          <t>Bloomberg-Reiter -&gt; Spreadsheet Builder -&gt; Historical Data Table. Ticker aus Blatt 'Tickerliste', Bereich A2:A61 (bei laufenden Kontrakten ggf. Spalte B). Feld PX_LAST, Start 01.06.2012, taeglich, keine Nicht-Handelstage. Beide Layouts (eine Datumsspalte oder Datum je Ticker) werden vom Loader akzeptiert. Danach ebenfalls in Werte umwandeln und als bloomberg_export.xlsx speichern.</t>
        </is>
      </c>
    </row>
    <row r="16">
      <c r="A16" s="5" t="inlineStr"/>
    </row>
    <row r="17">
      <c r="A17" s="6" t="inlineStr">
        <is>
          <t>Plausibilitaet vor dem Kopieren</t>
        </is>
      </c>
    </row>
    <row r="18">
      <c r="A18" s="5" t="inlineStr">
        <is>
          <t>- Abgelaufene Jun-Kontrakte enden am letzten Geschaeftstag im Mai, Dez-Kontrakte am letzten Geschaeftstag im November (siehe Spalte D in 'Tickerliste').</t>
        </is>
      </c>
    </row>
    <row r="19">
      <c r="A19" s="5" t="inlineStr">
        <is>
          <t>- Kurse sind US-Cent je Gallone: Werte grob zwischen 40 und 450 (z.B. 245.30). NICHT umrechnen, das macht der Loader.</t>
        </is>
      </c>
    </row>
    <row r="20">
      <c r="A20" s="5" t="inlineStr">
        <is>
          <t>- 60 Ticker: XB (RBOB) und HO (ULSD), jeweils Jun und Dez, Jahrgaenge 2013 bis 2027.</t>
        </is>
      </c>
    </row>
    <row r="21">
      <c r="A21" s="5" t="inlineStr"/>
    </row>
    <row r="22">
      <c r="A22" s="5" t="inlineStr">
        <is>
          <t>Warum zwei Tickerformen? Bloomberg fuehrt abgelaufene Kontrakte nur noch zweistellig (XBM13). Die einstellige Form (XBM3) zeigt immer auf den naechsten Kontrakt mit dieser Endziffer, bei alten Jahrgaengen also auf das falsche Jahrzehnt. Bei laufenden Kontrakten loest dagegen manchmal nur die einstellige Form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2026-09-23T04:14:32Z</dcterms:created>
  <dcterms:modified xsi:type="dcterms:W3CDTF">2026-09-23T04:14:32Z</dcterms:modified>
</cp:coreProperties>
</file>