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n" sheetId="1" state="visible" r:id="rId1"/>
    <sheet name="Tickerliste" sheetId="2" state="visible" r:id="rId2"/>
    <sheet name="Anleitung"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xf>
    <xf numFmtId="0" fontId="1" fillId="2" borderId="0" pivotButton="0" quotePrefix="0" xfId="0"/>
    <xf numFmtId="164"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0" customWidth="1" min="4" max="4"/>
    <col width="14" customWidth="1" min="5" max="5"/>
    <col width="10" customWidth="1" min="6" max="6"/>
    <col width="14" customWidth="1" min="7" max="7"/>
    <col width="10" customWidth="1" min="8" max="8"/>
    <col width="14" customWidth="1" min="9" max="9"/>
    <col width="10" customWidth="1" min="10" max="10"/>
    <col width="14" customWidth="1" min="11" max="11"/>
    <col width="10" customWidth="1" min="12" max="12"/>
    <col width="14" customWidth="1" min="13" max="13"/>
    <col width="10" customWidth="1" min="14" max="14"/>
    <col width="14" customWidth="1" min="15" max="15"/>
    <col width="10"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4" customWidth="1" min="25" max="25"/>
    <col width="10" customWidth="1" min="26" max="26"/>
    <col width="14" customWidth="1" min="27" max="27"/>
    <col width="10" customWidth="1" min="28" max="28"/>
    <col width="14" customWidth="1" min="29" max="29"/>
    <col width="10" customWidth="1" min="30" max="30"/>
    <col width="14" customWidth="1" min="31" max="31"/>
    <col width="10" customWidth="1" min="32" max="32"/>
    <col width="14" customWidth="1" min="33" max="33"/>
    <col width="10" customWidth="1" min="34" max="34"/>
    <col width="14" customWidth="1" min="35" max="35"/>
    <col width="10" customWidth="1" min="36" max="36"/>
    <col width="14" customWidth="1" min="37" max="37"/>
    <col width="10" customWidth="1" min="38" max="38"/>
    <col width="14" customWidth="1" min="39" max="39"/>
    <col width="10" customWidth="1" min="40" max="40"/>
    <col width="14" customWidth="1" min="41" max="41"/>
    <col width="10" customWidth="1" min="42" max="42"/>
    <col width="14" customWidth="1" min="43" max="43"/>
    <col width="10" customWidth="1" min="44" max="44"/>
    <col width="14" customWidth="1" min="45" max="45"/>
    <col width="10" customWidth="1" min="46" max="46"/>
    <col width="14" customWidth="1" min="47" max="47"/>
    <col width="10" customWidth="1" min="48" max="48"/>
    <col width="14" customWidth="1" min="49" max="49"/>
    <col width="10" customWidth="1" min="50" max="50"/>
    <col width="14" customWidth="1" min="51" max="51"/>
    <col width="10" customWidth="1" min="52" max="52"/>
    <col width="14" customWidth="1" min="53" max="53"/>
    <col width="10" customWidth="1" min="54" max="54"/>
    <col width="14" customWidth="1" min="55" max="55"/>
    <col width="10" customWidth="1" min="56" max="56"/>
    <col width="14" customWidth="1" min="57" max="57"/>
    <col width="10" customWidth="1" min="58" max="58"/>
    <col width="14" customWidth="1" min="59" max="59"/>
    <col width="10" customWidth="1" min="60" max="60"/>
    <col width="14" customWidth="1" min="61" max="61"/>
    <col width="10" customWidth="1" min="62" max="62"/>
    <col width="14" customWidth="1" min="63" max="63"/>
    <col width="10" customWidth="1" min="64" max="64"/>
    <col width="14" customWidth="1" min="65" max="65"/>
    <col width="10" customWidth="1" min="66" max="66"/>
    <col width="14" customWidth="1" min="67" max="67"/>
    <col width="10" customWidth="1" min="68" max="68"/>
    <col width="14" customWidth="1" min="69" max="69"/>
    <col width="10" customWidth="1" min="70" max="70"/>
    <col width="14" customWidth="1" min="71" max="71"/>
    <col width="10" customWidth="1" min="72" max="72"/>
    <col width="14" customWidth="1" min="73" max="73"/>
    <col width="10" customWidth="1" min="74" max="74"/>
    <col width="14" customWidth="1" min="75" max="75"/>
    <col width="10" customWidth="1" min="76" max="76"/>
    <col width="14" customWidth="1" min="77" max="77"/>
    <col width="10" customWidth="1" min="78" max="78"/>
    <col width="14" customWidth="1" min="79" max="79"/>
    <col width="10" customWidth="1" min="80" max="80"/>
    <col width="14" customWidth="1" min="81" max="81"/>
    <col width="10" customWidth="1" min="82" max="82"/>
    <col width="14" customWidth="1" min="83" max="83"/>
    <col width="10" customWidth="1" min="84" max="84"/>
    <col width="14" customWidth="1" min="85" max="85"/>
    <col width="10" customWidth="1" min="86" max="86"/>
    <col width="14" customWidth="1" min="87" max="87"/>
    <col width="10" customWidth="1" min="88" max="88"/>
    <col width="14" customWidth="1" min="89" max="89"/>
    <col width="10" customWidth="1" min="90" max="90"/>
    <col width="14" customWidth="1" min="91" max="91"/>
    <col width="10" customWidth="1" min="92" max="92"/>
    <col width="14" customWidth="1" min="93" max="93"/>
    <col width="10" customWidth="1" min="94" max="94"/>
    <col width="14" customWidth="1" min="95" max="95"/>
    <col width="10" customWidth="1" min="96" max="96"/>
    <col width="14" customWidth="1" min="97" max="97"/>
    <col width="10" customWidth="1" min="98" max="98"/>
    <col width="14" customWidth="1" min="99" max="99"/>
    <col width="10" customWidth="1" min="100" max="100"/>
    <col width="14" customWidth="1" min="101" max="101"/>
    <col width="10" customWidth="1" min="102" max="102"/>
    <col width="14" customWidth="1" min="103" max="103"/>
    <col width="10" customWidth="1" min="104" max="104"/>
    <col width="14" customWidth="1" min="105" max="105"/>
    <col width="10" customWidth="1" min="106" max="106"/>
    <col width="14" customWidth="1" min="107" max="107"/>
    <col width="10" customWidth="1" min="108" max="108"/>
    <col width="14" customWidth="1" min="109" max="109"/>
    <col width="10" customWidth="1" min="110" max="110"/>
    <col width="14" customWidth="1" min="111" max="111"/>
    <col width="10" customWidth="1" min="112" max="112"/>
    <col width="14" customWidth="1" min="113" max="113"/>
    <col width="10" customWidth="1" min="114" max="114"/>
    <col width="14" customWidth="1" min="115" max="115"/>
    <col width="10" customWidth="1" min="116" max="116"/>
    <col width="14" customWidth="1" min="117" max="117"/>
    <col width="10" customWidth="1" min="118" max="118"/>
    <col width="14" customWidth="1" min="119" max="119"/>
    <col width="10" customWidth="1" min="120" max="120"/>
  </cols>
  <sheetData>
    <row r="1">
      <c r="A1" s="1" t="inlineStr">
        <is>
          <t>XBM13 Comdty</t>
        </is>
      </c>
      <c r="C1" s="1" t="inlineStr">
        <is>
          <t>HOM13 Comdty</t>
        </is>
      </c>
      <c r="E1" s="1" t="inlineStr">
        <is>
          <t>XBZ13 Comdty</t>
        </is>
      </c>
      <c r="G1" s="1" t="inlineStr">
        <is>
          <t>HOZ13 Comdty</t>
        </is>
      </c>
      <c r="I1" s="1" t="inlineStr">
        <is>
          <t>XBM14 Comdty</t>
        </is>
      </c>
      <c r="K1" s="1" t="inlineStr">
        <is>
          <t>HOM14 Comdty</t>
        </is>
      </c>
      <c r="M1" s="1" t="inlineStr">
        <is>
          <t>XBZ14 Comdty</t>
        </is>
      </c>
      <c r="O1" s="1" t="inlineStr">
        <is>
          <t>HOZ14 Comdty</t>
        </is>
      </c>
      <c r="Q1" s="1" t="inlineStr">
        <is>
          <t>XBM15 Comdty</t>
        </is>
      </c>
      <c r="S1" s="1" t="inlineStr">
        <is>
          <t>HOM15 Comdty</t>
        </is>
      </c>
      <c r="U1" s="1" t="inlineStr">
        <is>
          <t>XBZ15 Comdty</t>
        </is>
      </c>
      <c r="W1" s="1" t="inlineStr">
        <is>
          <t>HOZ15 Comdty</t>
        </is>
      </c>
      <c r="Y1" s="1" t="inlineStr">
        <is>
          <t>XBM16 Comdty</t>
        </is>
      </c>
      <c r="AA1" s="1" t="inlineStr">
        <is>
          <t>HOM16 Comdty</t>
        </is>
      </c>
      <c r="AC1" s="1" t="inlineStr">
        <is>
          <t>XBZ16 Comdty</t>
        </is>
      </c>
      <c r="AE1" s="1" t="inlineStr">
        <is>
          <t>HOZ16 Comdty</t>
        </is>
      </c>
      <c r="AG1" s="1" t="inlineStr">
        <is>
          <t>XBM17 Comdty</t>
        </is>
      </c>
      <c r="AI1" s="1" t="inlineStr">
        <is>
          <t>HOM17 Comdty</t>
        </is>
      </c>
      <c r="AK1" s="1" t="inlineStr">
        <is>
          <t>XBZ17 Comdty</t>
        </is>
      </c>
      <c r="AM1" s="1" t="inlineStr">
        <is>
          <t>HOZ17 Comdty</t>
        </is>
      </c>
      <c r="AO1" s="1" t="inlineStr">
        <is>
          <t>XBM18 Comdty</t>
        </is>
      </c>
      <c r="AQ1" s="1" t="inlineStr">
        <is>
          <t>HOM18 Comdty</t>
        </is>
      </c>
      <c r="AS1" s="1" t="inlineStr">
        <is>
          <t>XBZ18 Comdty</t>
        </is>
      </c>
      <c r="AU1" s="1" t="inlineStr">
        <is>
          <t>HOZ18 Comdty</t>
        </is>
      </c>
      <c r="AW1" s="1" t="inlineStr">
        <is>
          <t>XBM19 Comdty</t>
        </is>
      </c>
      <c r="AY1" s="1" t="inlineStr">
        <is>
          <t>HOM19 Comdty</t>
        </is>
      </c>
      <c r="BA1" s="1" t="inlineStr">
        <is>
          <t>XBZ19 Comdty</t>
        </is>
      </c>
      <c r="BC1" s="1" t="inlineStr">
        <is>
          <t>HOZ19 Comdty</t>
        </is>
      </c>
      <c r="BE1" s="1" t="inlineStr">
        <is>
          <t>XBM20 Comdty</t>
        </is>
      </c>
      <c r="BG1" s="1" t="inlineStr">
        <is>
          <t>HOM20 Comdty</t>
        </is>
      </c>
      <c r="BI1" s="1" t="inlineStr">
        <is>
          <t>XBZ20 Comdty</t>
        </is>
      </c>
      <c r="BK1" s="1" t="inlineStr">
        <is>
          <t>HOZ20 Comdty</t>
        </is>
      </c>
      <c r="BM1" s="1" t="inlineStr">
        <is>
          <t>XBM21 Comdty</t>
        </is>
      </c>
      <c r="BO1" s="1" t="inlineStr">
        <is>
          <t>HOM21 Comdty</t>
        </is>
      </c>
      <c r="BQ1" s="1" t="inlineStr">
        <is>
          <t>XBZ21 Comdty</t>
        </is>
      </c>
      <c r="BS1" s="1" t="inlineStr">
        <is>
          <t>HOZ21 Comdty</t>
        </is>
      </c>
      <c r="BU1" s="1" t="inlineStr">
        <is>
          <t>XBM22 Comdty</t>
        </is>
      </c>
      <c r="BW1" s="1" t="inlineStr">
        <is>
          <t>HOM22 Comdty</t>
        </is>
      </c>
      <c r="BY1" s="1" t="inlineStr">
        <is>
          <t>XBZ22 Comdty</t>
        </is>
      </c>
      <c r="CA1" s="1" t="inlineStr">
        <is>
          <t>HOZ22 Comdty</t>
        </is>
      </c>
      <c r="CC1" s="1" t="inlineStr">
        <is>
          <t>XBM23 Comdty</t>
        </is>
      </c>
      <c r="CE1" s="1" t="inlineStr">
        <is>
          <t>HOM23 Comdty</t>
        </is>
      </c>
      <c r="CG1" s="1" t="inlineStr">
        <is>
          <t>XBZ23 Comdty</t>
        </is>
      </c>
      <c r="CI1" s="1" t="inlineStr">
        <is>
          <t>HOZ23 Comdty</t>
        </is>
      </c>
      <c r="CK1" s="1" t="inlineStr">
        <is>
          <t>XBM24 Comdty</t>
        </is>
      </c>
      <c r="CM1" s="1" t="inlineStr">
        <is>
          <t>HOM24 Comdty</t>
        </is>
      </c>
      <c r="CO1" s="1" t="inlineStr">
        <is>
          <t>XBZ24 Comdty</t>
        </is>
      </c>
      <c r="CQ1" s="1" t="inlineStr">
        <is>
          <t>HOZ24 Comdty</t>
        </is>
      </c>
      <c r="CS1" s="1" t="inlineStr">
        <is>
          <t>XBM25 Comdty</t>
        </is>
      </c>
      <c r="CU1" s="1" t="inlineStr">
        <is>
          <t>HOM25 Comdty</t>
        </is>
      </c>
      <c r="CW1" s="1" t="inlineStr">
        <is>
          <t>XBZ25 Comdty</t>
        </is>
      </c>
      <c r="CY1" s="1" t="inlineStr">
        <is>
          <t>HOZ25 Comdty</t>
        </is>
      </c>
      <c r="DA1" s="1" t="inlineStr">
        <is>
          <t>XBM26 Comdty</t>
        </is>
      </c>
      <c r="DC1" s="1" t="inlineStr">
        <is>
          <t>HOM26 Comdty</t>
        </is>
      </c>
      <c r="DE1" s="1" t="inlineStr">
        <is>
          <t>XBZ26 Comdty</t>
        </is>
      </c>
      <c r="DG1" s="1" t="inlineStr">
        <is>
          <t>HOZ26 Comdty</t>
        </is>
      </c>
      <c r="DI1" s="1" t="inlineStr">
        <is>
          <t>XBM27 Comdty</t>
        </is>
      </c>
      <c r="DK1" s="1" t="inlineStr">
        <is>
          <t>HOM27 Comdty</t>
        </is>
      </c>
      <c r="DM1" s="1" t="inlineStr">
        <is>
          <t>XBZ27 Comdty</t>
        </is>
      </c>
      <c r="DO1" s="1" t="inlineStr">
        <is>
          <t>HOZ27 Comdty</t>
        </is>
      </c>
    </row>
    <row r="2">
      <c r="A2">
        <f>BDH(A1,"PX_LAST","20120601","20271231","Days=T","Dts=S","Sort=A","Dir=V")</f>
        <v/>
      </c>
      <c r="C2">
        <f>BDH(C1,"PX_LAST","20120601","20271231","Days=T","Dts=S","Sort=A","Dir=V")</f>
        <v/>
      </c>
      <c r="E2">
        <f>BDH(E1,"PX_LAST","20120601","20271231","Days=T","Dts=S","Sort=A","Dir=V")</f>
        <v/>
      </c>
      <c r="G2">
        <f>BDH(G1,"PX_LAST","20120601","20271231","Days=T","Dts=S","Sort=A","Dir=V")</f>
        <v/>
      </c>
      <c r="I2">
        <f>BDH(I1,"PX_LAST","20120601","20271231","Days=T","Dts=S","Sort=A","Dir=V")</f>
        <v/>
      </c>
      <c r="K2">
        <f>BDH(K1,"PX_LAST","20120601","20271231","Days=T","Dts=S","Sort=A","Dir=V")</f>
        <v/>
      </c>
      <c r="M2">
        <f>BDH(M1,"PX_LAST","20120601","20271231","Days=T","Dts=S","Sort=A","Dir=V")</f>
        <v/>
      </c>
      <c r="O2">
        <f>BDH(O1,"PX_LAST","20120601","20271231","Days=T","Dts=S","Sort=A","Dir=V")</f>
        <v/>
      </c>
      <c r="Q2">
        <f>BDH(Q1,"PX_LAST","20120601","20271231","Days=T","Dts=S","Sort=A","Dir=V")</f>
        <v/>
      </c>
      <c r="S2">
        <f>BDH(S1,"PX_LAST","20120601","20271231","Days=T","Dts=S","Sort=A","Dir=V")</f>
        <v/>
      </c>
      <c r="U2">
        <f>BDH(U1,"PX_LAST","20120601","20271231","Days=T","Dts=S","Sort=A","Dir=V")</f>
        <v/>
      </c>
      <c r="W2">
        <f>BDH(W1,"PX_LAST","20120601","20271231","Days=T","Dts=S","Sort=A","Dir=V")</f>
        <v/>
      </c>
      <c r="Y2">
        <f>BDH(Y1,"PX_LAST","20120601","20271231","Days=T","Dts=S","Sort=A","Dir=V")</f>
        <v/>
      </c>
      <c r="AA2">
        <f>BDH(AA1,"PX_LAST","20120601","20271231","Days=T","Dts=S","Sort=A","Dir=V")</f>
        <v/>
      </c>
      <c r="AC2">
        <f>BDH(AC1,"PX_LAST","20120601","20271231","Days=T","Dts=S","Sort=A","Dir=V")</f>
        <v/>
      </c>
      <c r="AE2">
        <f>BDH(AE1,"PX_LAST","20120601","20271231","Days=T","Dts=S","Sort=A","Dir=V")</f>
        <v/>
      </c>
      <c r="AG2">
        <f>BDH(AG1,"PX_LAST","20120601","20271231","Days=T","Dts=S","Sort=A","Dir=V")</f>
        <v/>
      </c>
      <c r="AI2">
        <f>BDH(AI1,"PX_LAST","20120601","20271231","Days=T","Dts=S","Sort=A","Dir=V")</f>
        <v/>
      </c>
      <c r="AK2">
        <f>BDH(AK1,"PX_LAST","20120601","20271231","Days=T","Dts=S","Sort=A","Dir=V")</f>
        <v/>
      </c>
      <c r="AM2">
        <f>BDH(AM1,"PX_LAST","20120601","20271231","Days=T","Dts=S","Sort=A","Dir=V")</f>
        <v/>
      </c>
      <c r="AO2">
        <f>BDH(AO1,"PX_LAST","20120601","20271231","Days=T","Dts=S","Sort=A","Dir=V")</f>
        <v/>
      </c>
      <c r="AQ2">
        <f>BDH(AQ1,"PX_LAST","20120601","20271231","Days=T","Dts=S","Sort=A","Dir=V")</f>
        <v/>
      </c>
      <c r="AS2">
        <f>BDH(AS1,"PX_LAST","20120601","20271231","Days=T","Dts=S","Sort=A","Dir=V")</f>
        <v/>
      </c>
      <c r="AU2">
        <f>BDH(AU1,"PX_LAST","20120601","20271231","Days=T","Dts=S","Sort=A","Dir=V")</f>
        <v/>
      </c>
      <c r="AW2">
        <f>BDH(AW1,"PX_LAST","20120601","20271231","Days=T","Dts=S","Sort=A","Dir=V")</f>
        <v/>
      </c>
      <c r="AY2">
        <f>BDH(AY1,"PX_LAST","20120601","20271231","Days=T","Dts=S","Sort=A","Dir=V")</f>
        <v/>
      </c>
      <c r="BA2">
        <f>BDH(BA1,"PX_LAST","20120601","20271231","Days=T","Dts=S","Sort=A","Dir=V")</f>
        <v/>
      </c>
      <c r="BC2">
        <f>BDH(BC1,"PX_LAST","20120601","20271231","Days=T","Dts=S","Sort=A","Dir=V")</f>
        <v/>
      </c>
      <c r="BE2">
        <f>BDH(BE1,"PX_LAST","20120601","20271231","Days=T","Dts=S","Sort=A","Dir=V")</f>
        <v/>
      </c>
      <c r="BG2">
        <f>BDH(BG1,"PX_LAST","20120601","20271231","Days=T","Dts=S","Sort=A","Dir=V")</f>
        <v/>
      </c>
      <c r="BI2">
        <f>BDH(BI1,"PX_LAST","20120601","20271231","Days=T","Dts=S","Sort=A","Dir=V")</f>
        <v/>
      </c>
      <c r="BK2">
        <f>BDH(BK1,"PX_LAST","20120601","20271231","Days=T","Dts=S","Sort=A","Dir=V")</f>
        <v/>
      </c>
      <c r="BM2">
        <f>BDH(BM1,"PX_LAST","20120601","20271231","Days=T","Dts=S","Sort=A","Dir=V")</f>
        <v/>
      </c>
      <c r="BO2">
        <f>BDH(BO1,"PX_LAST","20120601","20271231","Days=T","Dts=S","Sort=A","Dir=V")</f>
        <v/>
      </c>
      <c r="BQ2">
        <f>BDH(BQ1,"PX_LAST","20120601","20271231","Days=T","Dts=S","Sort=A","Dir=V")</f>
        <v/>
      </c>
      <c r="BS2">
        <f>BDH(BS1,"PX_LAST","20120601","20271231","Days=T","Dts=S","Sort=A","Dir=V")</f>
        <v/>
      </c>
      <c r="BU2">
        <f>BDH(BU1,"PX_LAST","20120601","20271231","Days=T","Dts=S","Sort=A","Dir=V")</f>
        <v/>
      </c>
      <c r="BW2">
        <f>BDH(BW1,"PX_LAST","20120601","20271231","Days=T","Dts=S","Sort=A","Dir=V")</f>
        <v/>
      </c>
      <c r="BY2">
        <f>BDH(BY1,"PX_LAST","20120601","20271231","Days=T","Dts=S","Sort=A","Dir=V")</f>
        <v/>
      </c>
      <c r="CA2">
        <f>BDH(CA1,"PX_LAST","20120601","20271231","Days=T","Dts=S","Sort=A","Dir=V")</f>
        <v/>
      </c>
      <c r="CC2">
        <f>BDH(CC1,"PX_LAST","20120601","20271231","Days=T","Dts=S","Sort=A","Dir=V")</f>
        <v/>
      </c>
      <c r="CE2">
        <f>BDH(CE1,"PX_LAST","20120601","20271231","Days=T","Dts=S","Sort=A","Dir=V")</f>
        <v/>
      </c>
      <c r="CG2">
        <f>BDH(CG1,"PX_LAST","20120601","20271231","Days=T","Dts=S","Sort=A","Dir=V")</f>
        <v/>
      </c>
      <c r="CI2">
        <f>BDH(CI1,"PX_LAST","20120601","20271231","Days=T","Dts=S","Sort=A","Dir=V")</f>
        <v/>
      </c>
      <c r="CK2">
        <f>BDH(CK1,"PX_LAST","20120601","20271231","Days=T","Dts=S","Sort=A","Dir=V")</f>
        <v/>
      </c>
      <c r="CM2">
        <f>BDH(CM1,"PX_LAST","20120601","20271231","Days=T","Dts=S","Sort=A","Dir=V")</f>
        <v/>
      </c>
      <c r="CO2">
        <f>BDH(CO1,"PX_LAST","20120601","20271231","Days=T","Dts=S","Sort=A","Dir=V")</f>
        <v/>
      </c>
      <c r="CQ2">
        <f>BDH(CQ1,"PX_LAST","20120601","20271231","Days=T","Dts=S","Sort=A","Dir=V")</f>
        <v/>
      </c>
      <c r="CS2">
        <f>BDH(CS1,"PX_LAST","20120601","20271231","Days=T","Dts=S","Sort=A","Dir=V")</f>
        <v/>
      </c>
      <c r="CU2">
        <f>BDH(CU1,"PX_LAST","20120601","20271231","Days=T","Dts=S","Sort=A","Dir=V")</f>
        <v/>
      </c>
      <c r="CW2">
        <f>BDH(CW1,"PX_LAST","20120601","20271231","Days=T","Dts=S","Sort=A","Dir=V")</f>
        <v/>
      </c>
      <c r="CY2">
        <f>BDH(CY1,"PX_LAST","20120601","20271231","Days=T","Dts=S","Sort=A","Dir=V")</f>
        <v/>
      </c>
      <c r="DA2">
        <f>BDH(DA1,"PX_LAST","20120601","20271231","Days=T","Dts=S","Sort=A","Dir=V")</f>
        <v/>
      </c>
      <c r="DC2">
        <f>BDH(DC1,"PX_LAST","20120601","20271231","Days=T","Dts=S","Sort=A","Dir=V")</f>
        <v/>
      </c>
      <c r="DE2">
        <f>BDH(DE1,"PX_LAST","20120601","20271231","Days=T","Dts=S","Sort=A","Dir=V")</f>
        <v/>
      </c>
      <c r="DG2">
        <f>BDH(DG1,"PX_LAST","20120601","20271231","Days=T","Dts=S","Sort=A","Dir=V")</f>
        <v/>
      </c>
      <c r="DI2">
        <f>BDH(DI1,"PX_LAST","20120601","20271231","Days=T","Dts=S","Sort=A","Dir=V")</f>
        <v/>
      </c>
      <c r="DK2">
        <f>BDH(DK1,"PX_LAST","20120601","20271231","Days=T","Dts=S","Sort=A","Dir=V")</f>
        <v/>
      </c>
      <c r="DM2">
        <f>BDH(DM1,"PX_LAST","20120601","20271231","Days=T","Dts=S","Sort=A","Dir=V")</f>
        <v/>
      </c>
      <c r="DO2">
        <f>BDH(DO1,"PX_LAST","20120601","20271231","Days=T","Dts=S","Sort=A","Dir=V")</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70" customWidth="1" min="3" max="3"/>
    <col width="34" customWidth="1" min="4" max="4"/>
    <col width="40" customWidth="1" min="5" max="5"/>
  </cols>
  <sheetData>
    <row r="1">
      <c r="A1" s="2" t="inlineStr">
        <is>
          <t>Ticker (zweistellig)</t>
        </is>
      </c>
      <c r="B1" s="2" t="inlineStr">
        <is>
          <t>Ersatzform (einstellig)</t>
        </is>
      </c>
      <c r="C1" s="2" t="inlineStr">
        <is>
          <t>Beschreibung</t>
        </is>
      </c>
      <c r="D1" s="2" t="inlineStr">
        <is>
          <t>Erwarteter letzter Handelstag (ca.)</t>
        </is>
      </c>
      <c r="E1" s="2" t="inlineStr">
        <is>
          <t>Status (Stand 2026-09-22)</t>
        </is>
      </c>
    </row>
    <row r="2">
      <c r="A2" t="inlineStr">
        <is>
          <t>XBM13 Comdty</t>
        </is>
      </c>
      <c r="B2" t="inlineStr">
        <is>
          <t>XBM3 Comdty</t>
        </is>
      </c>
      <c r="C2" t="inlineStr">
        <is>
          <t>RBOB Gasoline (NYMEX, Root XB) | Jun-Bein | Jahrgang 2013 | Kontrakt Jun 2013</t>
        </is>
      </c>
      <c r="D2" s="3" t="n">
        <v>41425</v>
      </c>
      <c r="E2" t="inlineStr">
        <is>
          <t>abgelaufen</t>
        </is>
      </c>
    </row>
    <row r="3">
      <c r="A3" t="inlineStr">
        <is>
          <t>HOM13 Comdty</t>
        </is>
      </c>
      <c r="B3" t="inlineStr">
        <is>
          <t>HOM3 Comdty</t>
        </is>
      </c>
      <c r="C3" t="inlineStr">
        <is>
          <t>NY Harbor ULSD (NYMEX, Root HO) | Jun-Bein | Jahrgang 2013 | Kontrakt Jun 2013</t>
        </is>
      </c>
      <c r="D3" s="3" t="n">
        <v>41425</v>
      </c>
      <c r="E3" t="inlineStr">
        <is>
          <t>abgelaufen</t>
        </is>
      </c>
    </row>
    <row r="4">
      <c r="A4" t="inlineStr">
        <is>
          <t>XBZ13 Comdty</t>
        </is>
      </c>
      <c r="B4" t="inlineStr">
        <is>
          <t>XBZ3 Comdty</t>
        </is>
      </c>
      <c r="C4" t="inlineStr">
        <is>
          <t>RBOB Gasoline (NYMEX, Root XB) | Dez-Bein | Jahrgang 2013 | Kontrakt Dez 2013</t>
        </is>
      </c>
      <c r="D4" s="3" t="n">
        <v>41607</v>
      </c>
      <c r="E4" t="inlineStr">
        <is>
          <t>abgelaufen</t>
        </is>
      </c>
    </row>
    <row r="5">
      <c r="A5" t="inlineStr">
        <is>
          <t>HOZ13 Comdty</t>
        </is>
      </c>
      <c r="B5" t="inlineStr">
        <is>
          <t>HOZ3 Comdty</t>
        </is>
      </c>
      <c r="C5" t="inlineStr">
        <is>
          <t>NY Harbor ULSD (NYMEX, Root HO) | Dez-Bein | Jahrgang 2013 | Kontrakt Dez 2013</t>
        </is>
      </c>
      <c r="D5" s="3" t="n">
        <v>41607</v>
      </c>
      <c r="E5" t="inlineStr">
        <is>
          <t>abgelaufen</t>
        </is>
      </c>
    </row>
    <row r="6">
      <c r="A6" t="inlineStr">
        <is>
          <t>XBM14 Comdty</t>
        </is>
      </c>
      <c r="B6" t="inlineStr">
        <is>
          <t>XBM4 Comdty</t>
        </is>
      </c>
      <c r="C6" t="inlineStr">
        <is>
          <t>RBOB Gasoline (NYMEX, Root XB) | Jun-Bein | Jahrgang 2014 | Kontrakt Jun 2014</t>
        </is>
      </c>
      <c r="D6" s="3" t="n">
        <v>41789</v>
      </c>
      <c r="E6" t="inlineStr">
        <is>
          <t>abgelaufen</t>
        </is>
      </c>
    </row>
    <row r="7">
      <c r="A7" t="inlineStr">
        <is>
          <t>HOM14 Comdty</t>
        </is>
      </c>
      <c r="B7" t="inlineStr">
        <is>
          <t>HOM4 Comdty</t>
        </is>
      </c>
      <c r="C7" t="inlineStr">
        <is>
          <t>NY Harbor ULSD (NYMEX, Root HO) | Jun-Bein | Jahrgang 2014 | Kontrakt Jun 2014</t>
        </is>
      </c>
      <c r="D7" s="3" t="n">
        <v>41789</v>
      </c>
      <c r="E7" t="inlineStr">
        <is>
          <t>abgelaufen</t>
        </is>
      </c>
    </row>
    <row r="8">
      <c r="A8" t="inlineStr">
        <is>
          <t>XBZ14 Comdty</t>
        </is>
      </c>
      <c r="B8" t="inlineStr">
        <is>
          <t>XBZ4 Comdty</t>
        </is>
      </c>
      <c r="C8" t="inlineStr">
        <is>
          <t>RBOB Gasoline (NYMEX, Root XB) | Dez-Bein | Jahrgang 2014 | Kontrakt Dez 2014</t>
        </is>
      </c>
      <c r="D8" s="3" t="n">
        <v>41971</v>
      </c>
      <c r="E8" t="inlineStr">
        <is>
          <t>abgelaufen</t>
        </is>
      </c>
    </row>
    <row r="9">
      <c r="A9" t="inlineStr">
        <is>
          <t>HOZ14 Comdty</t>
        </is>
      </c>
      <c r="B9" t="inlineStr">
        <is>
          <t>HOZ4 Comdty</t>
        </is>
      </c>
      <c r="C9" t="inlineStr">
        <is>
          <t>NY Harbor ULSD (NYMEX, Root HO) | Dez-Bein | Jahrgang 2014 | Kontrakt Dez 2014</t>
        </is>
      </c>
      <c r="D9" s="3" t="n">
        <v>41971</v>
      </c>
      <c r="E9" t="inlineStr">
        <is>
          <t>abgelaufen</t>
        </is>
      </c>
    </row>
    <row r="10">
      <c r="A10" t="inlineStr">
        <is>
          <t>XBM15 Comdty</t>
        </is>
      </c>
      <c r="B10" t="inlineStr">
        <is>
          <t>XBM5 Comdty</t>
        </is>
      </c>
      <c r="C10" t="inlineStr">
        <is>
          <t>RBOB Gasoline (NYMEX, Root XB) | Jun-Bein | Jahrgang 2015 | Kontrakt Jun 2015</t>
        </is>
      </c>
      <c r="D10" s="3" t="n">
        <v>42153</v>
      </c>
      <c r="E10" t="inlineStr">
        <is>
          <t>abgelaufen</t>
        </is>
      </c>
    </row>
    <row r="11">
      <c r="A11" t="inlineStr">
        <is>
          <t>HOM15 Comdty</t>
        </is>
      </c>
      <c r="B11" t="inlineStr">
        <is>
          <t>HOM5 Comdty</t>
        </is>
      </c>
      <c r="C11" t="inlineStr">
        <is>
          <t>NY Harbor ULSD (NYMEX, Root HO) | Jun-Bein | Jahrgang 2015 | Kontrakt Jun 2015</t>
        </is>
      </c>
      <c r="D11" s="3" t="n">
        <v>42153</v>
      </c>
      <c r="E11" t="inlineStr">
        <is>
          <t>abgelaufen</t>
        </is>
      </c>
    </row>
    <row r="12">
      <c r="A12" t="inlineStr">
        <is>
          <t>XBZ15 Comdty</t>
        </is>
      </c>
      <c r="B12" t="inlineStr">
        <is>
          <t>XBZ5 Comdty</t>
        </is>
      </c>
      <c r="C12" t="inlineStr">
        <is>
          <t>RBOB Gasoline (NYMEX, Root XB) | Dez-Bein | Jahrgang 2015 | Kontrakt Dez 2015</t>
        </is>
      </c>
      <c r="D12" s="3" t="n">
        <v>42338</v>
      </c>
      <c r="E12" t="inlineStr">
        <is>
          <t>abgelaufen</t>
        </is>
      </c>
    </row>
    <row r="13">
      <c r="A13" t="inlineStr">
        <is>
          <t>HOZ15 Comdty</t>
        </is>
      </c>
      <c r="B13" t="inlineStr">
        <is>
          <t>HOZ5 Comdty</t>
        </is>
      </c>
      <c r="C13" t="inlineStr">
        <is>
          <t>NY Harbor ULSD (NYMEX, Root HO) | Dez-Bein | Jahrgang 2015 | Kontrakt Dez 2015</t>
        </is>
      </c>
      <c r="D13" s="3" t="n">
        <v>42338</v>
      </c>
      <c r="E13" t="inlineStr">
        <is>
          <t>abgelaufen</t>
        </is>
      </c>
    </row>
    <row r="14">
      <c r="A14" t="inlineStr">
        <is>
          <t>XBM16 Comdty</t>
        </is>
      </c>
      <c r="B14" t="inlineStr">
        <is>
          <t>XBM6 Comdty</t>
        </is>
      </c>
      <c r="C14" t="inlineStr">
        <is>
          <t>RBOB Gasoline (NYMEX, Root XB) | Jun-Bein | Jahrgang 2016 | Kontrakt Jun 2016</t>
        </is>
      </c>
      <c r="D14" s="3" t="n">
        <v>42521</v>
      </c>
      <c r="E14" t="inlineStr">
        <is>
          <t>abgelaufen</t>
        </is>
      </c>
    </row>
    <row r="15">
      <c r="A15" t="inlineStr">
        <is>
          <t>HOM16 Comdty</t>
        </is>
      </c>
      <c r="B15" t="inlineStr">
        <is>
          <t>HOM6 Comdty</t>
        </is>
      </c>
      <c r="C15" t="inlineStr">
        <is>
          <t>NY Harbor ULSD (NYMEX, Root HO) | Jun-Bein | Jahrgang 2016 | Kontrakt Jun 2016</t>
        </is>
      </c>
      <c r="D15" s="3" t="n">
        <v>42521</v>
      </c>
      <c r="E15" t="inlineStr">
        <is>
          <t>abgelaufen</t>
        </is>
      </c>
    </row>
    <row r="16">
      <c r="A16" t="inlineStr">
        <is>
          <t>XBZ16 Comdty</t>
        </is>
      </c>
      <c r="B16" t="inlineStr">
        <is>
          <t>XBZ6 Comdty</t>
        </is>
      </c>
      <c r="C16" t="inlineStr">
        <is>
          <t>RBOB Gasoline (NYMEX, Root XB) | Dez-Bein | Jahrgang 2016 | Kontrakt Dez 2016</t>
        </is>
      </c>
      <c r="D16" s="3" t="n">
        <v>42704</v>
      </c>
      <c r="E16" t="inlineStr">
        <is>
          <t>abgelaufen</t>
        </is>
      </c>
    </row>
    <row r="17">
      <c r="A17" t="inlineStr">
        <is>
          <t>HOZ16 Comdty</t>
        </is>
      </c>
      <c r="B17" t="inlineStr">
        <is>
          <t>HOZ6 Comdty</t>
        </is>
      </c>
      <c r="C17" t="inlineStr">
        <is>
          <t>NY Harbor ULSD (NYMEX, Root HO) | Dez-Bein | Jahrgang 2016 | Kontrakt Dez 2016</t>
        </is>
      </c>
      <c r="D17" s="3" t="n">
        <v>42704</v>
      </c>
      <c r="E17" t="inlineStr">
        <is>
          <t>abgelaufen</t>
        </is>
      </c>
    </row>
    <row r="18">
      <c r="A18" t="inlineStr">
        <is>
          <t>XBM17 Comdty</t>
        </is>
      </c>
      <c r="B18" t="inlineStr">
        <is>
          <t>XBM7 Comdty</t>
        </is>
      </c>
      <c r="C18" t="inlineStr">
        <is>
          <t>RBOB Gasoline (NYMEX, Root XB) | Jun-Bein | Jahrgang 2017 | Kontrakt Jun 2017</t>
        </is>
      </c>
      <c r="D18" s="3" t="n">
        <v>42886</v>
      </c>
      <c r="E18" t="inlineStr">
        <is>
          <t>abgelaufen</t>
        </is>
      </c>
    </row>
    <row r="19">
      <c r="A19" t="inlineStr">
        <is>
          <t>HOM17 Comdty</t>
        </is>
      </c>
      <c r="B19" t="inlineStr">
        <is>
          <t>HOM7 Comdty</t>
        </is>
      </c>
      <c r="C19" t="inlineStr">
        <is>
          <t>NY Harbor ULSD (NYMEX, Root HO) | Jun-Bein | Jahrgang 2017 | Kontrakt Jun 2017</t>
        </is>
      </c>
      <c r="D19" s="3" t="n">
        <v>42886</v>
      </c>
      <c r="E19" t="inlineStr">
        <is>
          <t>abgelaufen</t>
        </is>
      </c>
    </row>
    <row r="20">
      <c r="A20" t="inlineStr">
        <is>
          <t>XBZ17 Comdty</t>
        </is>
      </c>
      <c r="B20" t="inlineStr">
        <is>
          <t>XBZ7 Comdty</t>
        </is>
      </c>
      <c r="C20" t="inlineStr">
        <is>
          <t>RBOB Gasoline (NYMEX, Root XB) | Dez-Bein | Jahrgang 2017 | Kontrakt Dez 2017</t>
        </is>
      </c>
      <c r="D20" s="3" t="n">
        <v>43069</v>
      </c>
      <c r="E20" t="inlineStr">
        <is>
          <t>abgelaufen</t>
        </is>
      </c>
    </row>
    <row r="21">
      <c r="A21" t="inlineStr">
        <is>
          <t>HOZ17 Comdty</t>
        </is>
      </c>
      <c r="B21" t="inlineStr">
        <is>
          <t>HOZ7 Comdty</t>
        </is>
      </c>
      <c r="C21" t="inlineStr">
        <is>
          <t>NY Harbor ULSD (NYMEX, Root HO) | Dez-Bein | Jahrgang 2017 | Kontrakt Dez 2017</t>
        </is>
      </c>
      <c r="D21" s="3" t="n">
        <v>43069</v>
      </c>
      <c r="E21" t="inlineStr">
        <is>
          <t>abgelaufen</t>
        </is>
      </c>
    </row>
    <row r="22">
      <c r="A22" t="inlineStr">
        <is>
          <t>XBM18 Comdty</t>
        </is>
      </c>
      <c r="B22" t="inlineStr">
        <is>
          <t>XBM8 Comdty</t>
        </is>
      </c>
      <c r="C22" t="inlineStr">
        <is>
          <t>RBOB Gasoline (NYMEX, Root XB) | Jun-Bein | Jahrgang 2018 | Kontrakt Jun 2018</t>
        </is>
      </c>
      <c r="D22" s="3" t="n">
        <v>43251</v>
      </c>
      <c r="E22" t="inlineStr">
        <is>
          <t>abgelaufen</t>
        </is>
      </c>
    </row>
    <row r="23">
      <c r="A23" t="inlineStr">
        <is>
          <t>HOM18 Comdty</t>
        </is>
      </c>
      <c r="B23" t="inlineStr">
        <is>
          <t>HOM8 Comdty</t>
        </is>
      </c>
      <c r="C23" t="inlineStr">
        <is>
          <t>NY Harbor ULSD (NYMEX, Root HO) | Jun-Bein | Jahrgang 2018 | Kontrakt Jun 2018</t>
        </is>
      </c>
      <c r="D23" s="3" t="n">
        <v>43251</v>
      </c>
      <c r="E23" t="inlineStr">
        <is>
          <t>abgelaufen</t>
        </is>
      </c>
    </row>
    <row r="24">
      <c r="A24" t="inlineStr">
        <is>
          <t>XBZ18 Comdty</t>
        </is>
      </c>
      <c r="B24" t="inlineStr">
        <is>
          <t>XBZ8 Comdty</t>
        </is>
      </c>
      <c r="C24" t="inlineStr">
        <is>
          <t>RBOB Gasoline (NYMEX, Root XB) | Dez-Bein | Jahrgang 2018 | Kontrakt Dez 2018</t>
        </is>
      </c>
      <c r="D24" s="3" t="n">
        <v>43434</v>
      </c>
      <c r="E24" t="inlineStr">
        <is>
          <t>abgelaufen</t>
        </is>
      </c>
    </row>
    <row r="25">
      <c r="A25" t="inlineStr">
        <is>
          <t>HOZ18 Comdty</t>
        </is>
      </c>
      <c r="B25" t="inlineStr">
        <is>
          <t>HOZ8 Comdty</t>
        </is>
      </c>
      <c r="C25" t="inlineStr">
        <is>
          <t>NY Harbor ULSD (NYMEX, Root HO) | Dez-Bein | Jahrgang 2018 | Kontrakt Dez 2018</t>
        </is>
      </c>
      <c r="D25" s="3" t="n">
        <v>43434</v>
      </c>
      <c r="E25" t="inlineStr">
        <is>
          <t>abgelaufen</t>
        </is>
      </c>
    </row>
    <row r="26">
      <c r="A26" t="inlineStr">
        <is>
          <t>XBM19 Comdty</t>
        </is>
      </c>
      <c r="B26" t="inlineStr">
        <is>
          <t>XBM9 Comdty</t>
        </is>
      </c>
      <c r="C26" t="inlineStr">
        <is>
          <t>RBOB Gasoline (NYMEX, Root XB) | Jun-Bein | Jahrgang 2019 | Kontrakt Jun 2019</t>
        </is>
      </c>
      <c r="D26" s="3" t="n">
        <v>43616</v>
      </c>
      <c r="E26" t="inlineStr">
        <is>
          <t>abgelaufen</t>
        </is>
      </c>
    </row>
    <row r="27">
      <c r="A27" t="inlineStr">
        <is>
          <t>HOM19 Comdty</t>
        </is>
      </c>
      <c r="B27" t="inlineStr">
        <is>
          <t>HOM9 Comdty</t>
        </is>
      </c>
      <c r="C27" t="inlineStr">
        <is>
          <t>NY Harbor ULSD (NYMEX, Root HO) | Jun-Bein | Jahrgang 2019 | Kontrakt Jun 2019</t>
        </is>
      </c>
      <c r="D27" s="3" t="n">
        <v>43616</v>
      </c>
      <c r="E27" t="inlineStr">
        <is>
          <t>abgelaufen</t>
        </is>
      </c>
    </row>
    <row r="28">
      <c r="A28" t="inlineStr">
        <is>
          <t>XBZ19 Comdty</t>
        </is>
      </c>
      <c r="B28" t="inlineStr">
        <is>
          <t>XBZ9 Comdty</t>
        </is>
      </c>
      <c r="C28" t="inlineStr">
        <is>
          <t>RBOB Gasoline (NYMEX, Root XB) | Dez-Bein | Jahrgang 2019 | Kontrakt Dez 2019</t>
        </is>
      </c>
      <c r="D28" s="3" t="n">
        <v>43798</v>
      </c>
      <c r="E28" t="inlineStr">
        <is>
          <t>abgelaufen</t>
        </is>
      </c>
    </row>
    <row r="29">
      <c r="A29" t="inlineStr">
        <is>
          <t>HOZ19 Comdty</t>
        </is>
      </c>
      <c r="B29" t="inlineStr">
        <is>
          <t>HOZ9 Comdty</t>
        </is>
      </c>
      <c r="C29" t="inlineStr">
        <is>
          <t>NY Harbor ULSD (NYMEX, Root HO) | Dez-Bein | Jahrgang 2019 | Kontrakt Dez 2019</t>
        </is>
      </c>
      <c r="D29" s="3" t="n">
        <v>43798</v>
      </c>
      <c r="E29" t="inlineStr">
        <is>
          <t>abgelaufen</t>
        </is>
      </c>
    </row>
    <row r="30">
      <c r="A30" t="inlineStr">
        <is>
          <t>XBM20 Comdty</t>
        </is>
      </c>
      <c r="B30" t="inlineStr">
        <is>
          <t>XBM0 Comdty</t>
        </is>
      </c>
      <c r="C30" t="inlineStr">
        <is>
          <t>RBOB Gasoline (NYMEX, Root XB) | Jun-Bein | Jahrgang 2020 | Kontrakt Jun 2020</t>
        </is>
      </c>
      <c r="D30" s="3" t="n">
        <v>43980</v>
      </c>
      <c r="E30" t="inlineStr">
        <is>
          <t>abgelaufen</t>
        </is>
      </c>
    </row>
    <row r="31">
      <c r="A31" t="inlineStr">
        <is>
          <t>HOM20 Comdty</t>
        </is>
      </c>
      <c r="B31" t="inlineStr">
        <is>
          <t>HOM0 Comdty</t>
        </is>
      </c>
      <c r="C31" t="inlineStr">
        <is>
          <t>NY Harbor ULSD (NYMEX, Root HO) | Jun-Bein | Jahrgang 2020 | Kontrakt Jun 2020</t>
        </is>
      </c>
      <c r="D31" s="3" t="n">
        <v>43980</v>
      </c>
      <c r="E31" t="inlineStr">
        <is>
          <t>abgelaufen</t>
        </is>
      </c>
    </row>
    <row r="32">
      <c r="A32" t="inlineStr">
        <is>
          <t>XBZ20 Comdty</t>
        </is>
      </c>
      <c r="B32" t="inlineStr">
        <is>
          <t>XBZ0 Comdty</t>
        </is>
      </c>
      <c r="C32" t="inlineStr">
        <is>
          <t>RBOB Gasoline (NYMEX, Root XB) | Dez-Bein | Jahrgang 2020 | Kontrakt Dez 2020</t>
        </is>
      </c>
      <c r="D32" s="3" t="n">
        <v>44165</v>
      </c>
      <c r="E32" t="inlineStr">
        <is>
          <t>abgelaufen</t>
        </is>
      </c>
    </row>
    <row r="33">
      <c r="A33" t="inlineStr">
        <is>
          <t>HOZ20 Comdty</t>
        </is>
      </c>
      <c r="B33" t="inlineStr">
        <is>
          <t>HOZ0 Comdty</t>
        </is>
      </c>
      <c r="C33" t="inlineStr">
        <is>
          <t>NY Harbor ULSD (NYMEX, Root HO) | Dez-Bein | Jahrgang 2020 | Kontrakt Dez 2020</t>
        </is>
      </c>
      <c r="D33" s="3" t="n">
        <v>44165</v>
      </c>
      <c r="E33" t="inlineStr">
        <is>
          <t>abgelaufen</t>
        </is>
      </c>
    </row>
    <row r="34">
      <c r="A34" t="inlineStr">
        <is>
          <t>XBM21 Comdty</t>
        </is>
      </c>
      <c r="B34" t="inlineStr">
        <is>
          <t>XBM1 Comdty</t>
        </is>
      </c>
      <c r="C34" t="inlineStr">
        <is>
          <t>RBOB Gasoline (NYMEX, Root XB) | Jun-Bein | Jahrgang 2021 | Kontrakt Jun 2021</t>
        </is>
      </c>
      <c r="D34" s="3" t="n">
        <v>44344</v>
      </c>
      <c r="E34" t="inlineStr">
        <is>
          <t>abgelaufen</t>
        </is>
      </c>
    </row>
    <row r="35">
      <c r="A35" t="inlineStr">
        <is>
          <t>HOM21 Comdty</t>
        </is>
      </c>
      <c r="B35" t="inlineStr">
        <is>
          <t>HOM1 Comdty</t>
        </is>
      </c>
      <c r="C35" t="inlineStr">
        <is>
          <t>NY Harbor ULSD (NYMEX, Root HO) | Jun-Bein | Jahrgang 2021 | Kontrakt Jun 2021</t>
        </is>
      </c>
      <c r="D35" s="3" t="n">
        <v>44344</v>
      </c>
      <c r="E35" t="inlineStr">
        <is>
          <t>abgelaufen</t>
        </is>
      </c>
    </row>
    <row r="36">
      <c r="A36" t="inlineStr">
        <is>
          <t>XBZ21 Comdty</t>
        </is>
      </c>
      <c r="B36" t="inlineStr">
        <is>
          <t>XBZ1 Comdty</t>
        </is>
      </c>
      <c r="C36" t="inlineStr">
        <is>
          <t>RBOB Gasoline (NYMEX, Root XB) | Dez-Bein | Jahrgang 2021 | Kontrakt Dez 2021</t>
        </is>
      </c>
      <c r="D36" s="3" t="n">
        <v>44530</v>
      </c>
      <c r="E36" t="inlineStr">
        <is>
          <t>abgelaufen</t>
        </is>
      </c>
    </row>
    <row r="37">
      <c r="A37" t="inlineStr">
        <is>
          <t>HOZ21 Comdty</t>
        </is>
      </c>
      <c r="B37" t="inlineStr">
        <is>
          <t>HOZ1 Comdty</t>
        </is>
      </c>
      <c r="C37" t="inlineStr">
        <is>
          <t>NY Harbor ULSD (NYMEX, Root HO) | Dez-Bein | Jahrgang 2021 | Kontrakt Dez 2021</t>
        </is>
      </c>
      <c r="D37" s="3" t="n">
        <v>44530</v>
      </c>
      <c r="E37" t="inlineStr">
        <is>
          <t>abgelaufen</t>
        </is>
      </c>
    </row>
    <row r="38">
      <c r="A38" t="inlineStr">
        <is>
          <t>XBM22 Comdty</t>
        </is>
      </c>
      <c r="B38" t="inlineStr">
        <is>
          <t>XBM2 Comdty</t>
        </is>
      </c>
      <c r="C38" t="inlineStr">
        <is>
          <t>RBOB Gasoline (NYMEX, Root XB) | Jun-Bein | Jahrgang 2022 | Kontrakt Jun 2022</t>
        </is>
      </c>
      <c r="D38" s="3" t="n">
        <v>44712</v>
      </c>
      <c r="E38" t="inlineStr">
        <is>
          <t>abgelaufen</t>
        </is>
      </c>
    </row>
    <row r="39">
      <c r="A39" t="inlineStr">
        <is>
          <t>HOM22 Comdty</t>
        </is>
      </c>
      <c r="B39" t="inlineStr">
        <is>
          <t>HOM2 Comdty</t>
        </is>
      </c>
      <c r="C39" t="inlineStr">
        <is>
          <t>NY Harbor ULSD (NYMEX, Root HO) | Jun-Bein | Jahrgang 2022 | Kontrakt Jun 2022</t>
        </is>
      </c>
      <c r="D39" s="3" t="n">
        <v>44712</v>
      </c>
      <c r="E39" t="inlineStr">
        <is>
          <t>abgelaufen</t>
        </is>
      </c>
    </row>
    <row r="40">
      <c r="A40" t="inlineStr">
        <is>
          <t>XBZ22 Comdty</t>
        </is>
      </c>
      <c r="B40" t="inlineStr">
        <is>
          <t>XBZ2 Comdty</t>
        </is>
      </c>
      <c r="C40" t="inlineStr">
        <is>
          <t>RBOB Gasoline (NYMEX, Root XB) | Dez-Bein | Jahrgang 2022 | Kontrakt Dez 2022</t>
        </is>
      </c>
      <c r="D40" s="3" t="n">
        <v>44895</v>
      </c>
      <c r="E40" t="inlineStr">
        <is>
          <t>abgelaufen</t>
        </is>
      </c>
    </row>
    <row r="41">
      <c r="A41" t="inlineStr">
        <is>
          <t>HOZ22 Comdty</t>
        </is>
      </c>
      <c r="B41" t="inlineStr">
        <is>
          <t>HOZ2 Comdty</t>
        </is>
      </c>
      <c r="C41" t="inlineStr">
        <is>
          <t>NY Harbor ULSD (NYMEX, Root HO) | Dez-Bein | Jahrgang 2022 | Kontrakt Dez 2022</t>
        </is>
      </c>
      <c r="D41" s="3" t="n">
        <v>44895</v>
      </c>
      <c r="E41" t="inlineStr">
        <is>
          <t>abgelaufen</t>
        </is>
      </c>
    </row>
    <row r="42">
      <c r="A42" t="inlineStr">
        <is>
          <t>XBM23 Comdty</t>
        </is>
      </c>
      <c r="B42" t="inlineStr">
        <is>
          <t>XBM3 Comdty</t>
        </is>
      </c>
      <c r="C42" t="inlineStr">
        <is>
          <t>RBOB Gasoline (NYMEX, Root XB) | Jun-Bein | Jahrgang 2023 | Kontrakt Jun 2023</t>
        </is>
      </c>
      <c r="D42" s="3" t="n">
        <v>45077</v>
      </c>
      <c r="E42" t="inlineStr">
        <is>
          <t>abgelaufen</t>
        </is>
      </c>
    </row>
    <row r="43">
      <c r="A43" t="inlineStr">
        <is>
          <t>HOM23 Comdty</t>
        </is>
      </c>
      <c r="B43" t="inlineStr">
        <is>
          <t>HOM3 Comdty</t>
        </is>
      </c>
      <c r="C43" t="inlineStr">
        <is>
          <t>NY Harbor ULSD (NYMEX, Root HO) | Jun-Bein | Jahrgang 2023 | Kontrakt Jun 2023</t>
        </is>
      </c>
      <c r="D43" s="3" t="n">
        <v>45077</v>
      </c>
      <c r="E43" t="inlineStr">
        <is>
          <t>abgelaufen</t>
        </is>
      </c>
    </row>
    <row r="44">
      <c r="A44" t="inlineStr">
        <is>
          <t>XBZ23 Comdty</t>
        </is>
      </c>
      <c r="B44" t="inlineStr">
        <is>
          <t>XBZ3 Comdty</t>
        </is>
      </c>
      <c r="C44" t="inlineStr">
        <is>
          <t>RBOB Gasoline (NYMEX, Root XB) | Dez-Bein | Jahrgang 2023 | Kontrakt Dez 2023</t>
        </is>
      </c>
      <c r="D44" s="3" t="n">
        <v>45260</v>
      </c>
      <c r="E44" t="inlineStr">
        <is>
          <t>abgelaufen</t>
        </is>
      </c>
    </row>
    <row r="45">
      <c r="A45" t="inlineStr">
        <is>
          <t>HOZ23 Comdty</t>
        </is>
      </c>
      <c r="B45" t="inlineStr">
        <is>
          <t>HOZ3 Comdty</t>
        </is>
      </c>
      <c r="C45" t="inlineStr">
        <is>
          <t>NY Harbor ULSD (NYMEX, Root HO) | Dez-Bein | Jahrgang 2023 | Kontrakt Dez 2023</t>
        </is>
      </c>
      <c r="D45" s="3" t="n">
        <v>45260</v>
      </c>
      <c r="E45" t="inlineStr">
        <is>
          <t>abgelaufen</t>
        </is>
      </c>
    </row>
    <row r="46">
      <c r="A46" t="inlineStr">
        <is>
          <t>XBM24 Comdty</t>
        </is>
      </c>
      <c r="B46" t="inlineStr">
        <is>
          <t>XBM4 Comdty</t>
        </is>
      </c>
      <c r="C46" t="inlineStr">
        <is>
          <t>RBOB Gasoline (NYMEX, Root XB) | Jun-Bein | Jahrgang 2024 | Kontrakt Jun 2024</t>
        </is>
      </c>
      <c r="D46" s="3" t="n">
        <v>45443</v>
      </c>
      <c r="E46" t="inlineStr">
        <is>
          <t>abgelaufen</t>
        </is>
      </c>
    </row>
    <row r="47">
      <c r="A47" t="inlineStr">
        <is>
          <t>HOM24 Comdty</t>
        </is>
      </c>
      <c r="B47" t="inlineStr">
        <is>
          <t>HOM4 Comdty</t>
        </is>
      </c>
      <c r="C47" t="inlineStr">
        <is>
          <t>NY Harbor ULSD (NYMEX, Root HO) | Jun-Bein | Jahrgang 2024 | Kontrakt Jun 2024</t>
        </is>
      </c>
      <c r="D47" s="3" t="n">
        <v>45443</v>
      </c>
      <c r="E47" t="inlineStr">
        <is>
          <t>abgelaufen</t>
        </is>
      </c>
    </row>
    <row r="48">
      <c r="A48" t="inlineStr">
        <is>
          <t>XBZ24 Comdty</t>
        </is>
      </c>
      <c r="B48" t="inlineStr">
        <is>
          <t>XBZ4 Comdty</t>
        </is>
      </c>
      <c r="C48" t="inlineStr">
        <is>
          <t>RBOB Gasoline (NYMEX, Root XB) | Dez-Bein | Jahrgang 2024 | Kontrakt Dez 2024</t>
        </is>
      </c>
      <c r="D48" s="3" t="n">
        <v>45625</v>
      </c>
      <c r="E48" t="inlineStr">
        <is>
          <t>abgelaufen</t>
        </is>
      </c>
    </row>
    <row r="49">
      <c r="A49" t="inlineStr">
        <is>
          <t>HOZ24 Comdty</t>
        </is>
      </c>
      <c r="B49" t="inlineStr">
        <is>
          <t>HOZ4 Comdty</t>
        </is>
      </c>
      <c r="C49" t="inlineStr">
        <is>
          <t>NY Harbor ULSD (NYMEX, Root HO) | Dez-Bein | Jahrgang 2024 | Kontrakt Dez 2024</t>
        </is>
      </c>
      <c r="D49" s="3" t="n">
        <v>45625</v>
      </c>
      <c r="E49" t="inlineStr">
        <is>
          <t>abgelaufen</t>
        </is>
      </c>
    </row>
    <row r="50">
      <c r="A50" t="inlineStr">
        <is>
          <t>XBM25 Comdty</t>
        </is>
      </c>
      <c r="B50" t="inlineStr">
        <is>
          <t>XBM5 Comdty</t>
        </is>
      </c>
      <c r="C50" t="inlineStr">
        <is>
          <t>RBOB Gasoline (NYMEX, Root XB) | Jun-Bein | Jahrgang 2025 | Kontrakt Jun 2025</t>
        </is>
      </c>
      <c r="D50" s="3" t="n">
        <v>45807</v>
      </c>
      <c r="E50" t="inlineStr">
        <is>
          <t>abgelaufen</t>
        </is>
      </c>
    </row>
    <row r="51">
      <c r="A51" t="inlineStr">
        <is>
          <t>HOM25 Comdty</t>
        </is>
      </c>
      <c r="B51" t="inlineStr">
        <is>
          <t>HOM5 Comdty</t>
        </is>
      </c>
      <c r="C51" t="inlineStr">
        <is>
          <t>NY Harbor ULSD (NYMEX, Root HO) | Jun-Bein | Jahrgang 2025 | Kontrakt Jun 2025</t>
        </is>
      </c>
      <c r="D51" s="3" t="n">
        <v>45807</v>
      </c>
      <c r="E51" t="inlineStr">
        <is>
          <t>abgelaufen</t>
        </is>
      </c>
    </row>
    <row r="52">
      <c r="A52" t="inlineStr">
        <is>
          <t>XBZ25 Comdty</t>
        </is>
      </c>
      <c r="B52" t="inlineStr">
        <is>
          <t>XBZ5 Comdty</t>
        </is>
      </c>
      <c r="C52" t="inlineStr">
        <is>
          <t>RBOB Gasoline (NYMEX, Root XB) | Dez-Bein | Jahrgang 2025 | Kontrakt Dez 2025</t>
        </is>
      </c>
      <c r="D52" s="3" t="n">
        <v>45989</v>
      </c>
      <c r="E52" t="inlineStr">
        <is>
          <t>abgelaufen</t>
        </is>
      </c>
    </row>
    <row r="53">
      <c r="A53" t="inlineStr">
        <is>
          <t>HOZ25 Comdty</t>
        </is>
      </c>
      <c r="B53" t="inlineStr">
        <is>
          <t>HOZ5 Comdty</t>
        </is>
      </c>
      <c r="C53" t="inlineStr">
        <is>
          <t>NY Harbor ULSD (NYMEX, Root HO) | Dez-Bein | Jahrgang 2025 | Kontrakt Dez 2025</t>
        </is>
      </c>
      <c r="D53" s="3" t="n">
        <v>45989</v>
      </c>
      <c r="E53" t="inlineStr">
        <is>
          <t>abgelaufen</t>
        </is>
      </c>
    </row>
    <row r="54">
      <c r="A54" t="inlineStr">
        <is>
          <t>XBM26 Comdty</t>
        </is>
      </c>
      <c r="B54" t="inlineStr">
        <is>
          <t>XBM6 Comdty</t>
        </is>
      </c>
      <c r="C54" t="inlineStr">
        <is>
          <t>RBOB Gasoline (NYMEX, Root XB) | Jun-Bein | Jahrgang 2026 | Kontrakt Jun 2026</t>
        </is>
      </c>
      <c r="D54" s="3" t="n">
        <v>46171</v>
      </c>
      <c r="E54" t="inlineStr">
        <is>
          <t>abgelaufen</t>
        </is>
      </c>
    </row>
    <row r="55">
      <c r="A55" t="inlineStr">
        <is>
          <t>HOM26 Comdty</t>
        </is>
      </c>
      <c r="B55" t="inlineStr">
        <is>
          <t>HOM6 Comdty</t>
        </is>
      </c>
      <c r="C55" t="inlineStr">
        <is>
          <t>NY Harbor ULSD (NYMEX, Root HO) | Jun-Bein | Jahrgang 2026 | Kontrakt Jun 2026</t>
        </is>
      </c>
      <c r="D55" s="3" t="n">
        <v>46171</v>
      </c>
      <c r="E55" t="inlineStr">
        <is>
          <t>abgelaufen</t>
        </is>
      </c>
    </row>
    <row r="56">
      <c r="A56" t="inlineStr">
        <is>
          <t>XBZ26 Comdty</t>
        </is>
      </c>
      <c r="B56" t="inlineStr">
        <is>
          <t>XBZ6 Comdty</t>
        </is>
      </c>
      <c r="C56" t="inlineStr">
        <is>
          <t>RBOB Gasoline (NYMEX, Root XB) | Dez-Bein | Jahrgang 2026 | Kontrakt Dez 2026</t>
        </is>
      </c>
      <c r="D56" s="3" t="n">
        <v>46356</v>
      </c>
      <c r="E56" t="inlineStr">
        <is>
          <t>laufend (ggf. einstellige Form noetig)</t>
        </is>
      </c>
    </row>
    <row r="57">
      <c r="A57" t="inlineStr">
        <is>
          <t>HOZ26 Comdty</t>
        </is>
      </c>
      <c r="B57" t="inlineStr">
        <is>
          <t>HOZ6 Comdty</t>
        </is>
      </c>
      <c r="C57" t="inlineStr">
        <is>
          <t>NY Harbor ULSD (NYMEX, Root HO) | Dez-Bein | Jahrgang 2026 | Kontrakt Dez 2026</t>
        </is>
      </c>
      <c r="D57" s="3" t="n">
        <v>46356</v>
      </c>
      <c r="E57" t="inlineStr">
        <is>
          <t>laufend (ggf. einstellige Form noetig)</t>
        </is>
      </c>
    </row>
    <row r="58">
      <c r="A58" t="inlineStr">
        <is>
          <t>XBM27 Comdty</t>
        </is>
      </c>
      <c r="B58" t="inlineStr">
        <is>
          <t>XBM7 Comdty</t>
        </is>
      </c>
      <c r="C58" t="inlineStr">
        <is>
          <t>RBOB Gasoline (NYMEX, Root XB) | Jun-Bein | Jahrgang 2027 | Kontrakt Jun 2027</t>
        </is>
      </c>
      <c r="D58" s="3" t="n">
        <v>46535</v>
      </c>
      <c r="E58" t="inlineStr">
        <is>
          <t>laufend (ggf. einstellige Form noetig)</t>
        </is>
      </c>
    </row>
    <row r="59">
      <c r="A59" t="inlineStr">
        <is>
          <t>HOM27 Comdty</t>
        </is>
      </c>
      <c r="B59" t="inlineStr">
        <is>
          <t>HOM7 Comdty</t>
        </is>
      </c>
      <c r="C59" t="inlineStr">
        <is>
          <t>NY Harbor ULSD (NYMEX, Root HO) | Jun-Bein | Jahrgang 2027 | Kontrakt Jun 2027</t>
        </is>
      </c>
      <c r="D59" s="3" t="n">
        <v>46535</v>
      </c>
      <c r="E59" t="inlineStr">
        <is>
          <t>laufend (ggf. einstellige Form noetig)</t>
        </is>
      </c>
    </row>
    <row r="60">
      <c r="A60" t="inlineStr">
        <is>
          <t>XBZ27 Comdty</t>
        </is>
      </c>
      <c r="B60" t="inlineStr">
        <is>
          <t>XBZ7 Comdty</t>
        </is>
      </c>
      <c r="C60" t="inlineStr">
        <is>
          <t>RBOB Gasoline (NYMEX, Root XB) | Dez-Bein | Jahrgang 2027 | Kontrakt Dez 2027</t>
        </is>
      </c>
      <c r="D60" s="3" t="n">
        <v>46721</v>
      </c>
      <c r="E60" t="inlineStr">
        <is>
          <t>laufend (ggf. einstellige Form noetig)</t>
        </is>
      </c>
    </row>
    <row r="61">
      <c r="A61" t="inlineStr">
        <is>
          <t>HOZ27 Comdty</t>
        </is>
      </c>
      <c r="B61" t="inlineStr">
        <is>
          <t>HOZ7 Comdty</t>
        </is>
      </c>
      <c r="C61" t="inlineStr">
        <is>
          <t>NY Harbor ULSD (NYMEX, Root HO) | Dez-Bein | Jahrgang 2027 | Kontrakt Dez 2027</t>
        </is>
      </c>
      <c r="D61" s="3" t="n">
        <v>46721</v>
      </c>
      <c r="E61" t="inlineStr">
        <is>
          <t>laufend (ggf. einstellige Form noetig)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4" t="inlineStr">
        <is>
          <t>Bloomberg-Pull RB/HO Jun-vs-Dec Spread - Kurzanleitung (ausfuehrlich: bloomberg/ANLEITUNG_BLOOMBERG.md)</t>
        </is>
      </c>
    </row>
    <row r="2">
      <c r="A2" s="5" t="inlineStr"/>
    </row>
    <row r="3">
      <c r="A3" s="5" t="inlineStr">
        <is>
          <t>Ziel: Am Ende muss auf dem Analyse-PC die Datei data/raw/bloomberg_export.xlsx (oder .csv) liegen, mit Tageskursen (PX_LAST) fuer alle 60 Ticker ab 01.06.2012.</t>
        </is>
      </c>
    </row>
    <row r="4">
      <c r="A4" s="5" t="inlineStr"/>
    </row>
    <row r="5">
      <c r="A5" s="6" t="inlineStr">
        <is>
          <t>Weg A - Blatt 'Daten' mit dem Excel-Add-in (empfohlen)</t>
        </is>
      </c>
    </row>
    <row r="6">
      <c r="A6" s="5" t="inlineStr">
        <is>
          <t>1. Diese Datei auf den Bloomberg-PC kopieren und in Excel oeffnen. Das Bloomberg-Add-in muss geladen sein (Menueband-Reiter 'Bloomberg' sichtbar, Terminal angemeldet).</t>
        </is>
      </c>
    </row>
    <row r="7">
      <c r="A7" s="5" t="inlineStr">
        <is>
          <t>2. Zeigen die Zellen in Zeile 2 '#NAME?' oder bleiben leer: Strg+Alt+F9 (vollstaendige Neuberechnung) druecken und warten, bis die Bloomberg-Anzeige in der Excel-Statusleiste nichts mehr laedt.</t>
        </is>
      </c>
    </row>
    <row r="8">
      <c r="A8" s="5" t="inlineStr">
        <is>
          <t>3. Pruefen: Jede Tickerspalte hat mehrere hundert Zeilen (abgelaufene Kontrakte ca. 600-750 Zeilen, Jahrgang 2013 weniger, weil der Pull erst am 01.06.2012 beginnt).</t>
        </is>
      </c>
    </row>
    <row r="9">
      <c r="A9" s="5" t="inlineStr">
        <is>
          <t>4. Liefert ein noch laufender Kontrakt (Dez 2026, Jun 2027, Dez 2027) nur '#N/A' oder 'Invalid security': den Tickertext in Zeile 1 durch die einstellige Form aus Blatt 'Tickerliste' ersetzen (z.B. 'XBZ26 Comdty' -&gt; 'XBZ6 Comdty'), dann erneut Strg+Alt+F9.</t>
        </is>
      </c>
    </row>
    <row r="10">
      <c r="A10" s="5" t="inlineStr">
        <is>
          <t>5. WICHTIG - Formeln in Werte umwandeln: Strg+A, Strg+C, Rechtsklick -&gt; Inhalte einfuegen -&gt; Werte. Ohne diesen Schritt ist die Datei auf einem PC ohne Bloomberg leer.</t>
        </is>
      </c>
    </row>
    <row r="11">
      <c r="A11" s="5" t="inlineStr">
        <is>
          <t>6. Speichern unter: bloomberg_export.xlsx (Dateityp Excel-Arbeitsmappe .xlsx).</t>
        </is>
      </c>
    </row>
    <row r="12">
      <c r="A12" s="5" t="inlineStr">
        <is>
          <t>7. Datei auf den Analyse-PC in den Projektordner data/raw/ kopieren.</t>
        </is>
      </c>
    </row>
    <row r="13">
      <c r="A13" s="5" t="inlineStr"/>
    </row>
    <row r="14">
      <c r="A14" s="6" t="inlineStr">
        <is>
          <t>Weg C - Bloomberg Spreadsheet Builder (Ersatzweg)</t>
        </is>
      </c>
    </row>
    <row r="15">
      <c r="A15" s="5" t="inlineStr">
        <is>
          <t>Bloomberg-Reiter -&gt; Spreadsheet Builder -&gt; Historical Data Table. Ticker aus Blatt 'Tickerliste', Bereich A2:A61 (bei laufenden Kontrakten ggf. Spalte B). Feld PX_LAST, Start 01.06.2012, taeglich, keine Nicht-Handelstage. Beide Layouts (eine Datumsspalte oder Datum je Ticker) werden vom Loader akzeptiert. Danach ebenfalls in Werte umwandeln und als bloomberg_export.xlsx speichern.</t>
        </is>
      </c>
    </row>
    <row r="16">
      <c r="A16" s="5" t="inlineStr"/>
    </row>
    <row r="17">
      <c r="A17" s="6" t="inlineStr">
        <is>
          <t>Plausibilitaet vor dem Kopieren</t>
        </is>
      </c>
    </row>
    <row r="18">
      <c r="A18" s="5" t="inlineStr">
        <is>
          <t>- Abgelaufene Jun-Kontrakte enden am letzten Geschaeftstag im Mai, Dez-Kontrakte am letzten Geschaeftstag im November (siehe Spalte D in 'Tickerliste').</t>
        </is>
      </c>
    </row>
    <row r="19">
      <c r="A19" s="5" t="inlineStr">
        <is>
          <t>- Kurse sind US-Cent je Gallone: Werte grob zwischen 40 und 450 (z.B. 245.30). NICHT umrechnen, das macht der Loader.</t>
        </is>
      </c>
    </row>
    <row r="20">
      <c r="A20" s="5" t="inlineStr">
        <is>
          <t>- 60 Ticker: XB (RBOB) und HO (ULSD), jeweils Jun und Dez, Jahrgaenge 2013 bis 2027.</t>
        </is>
      </c>
    </row>
    <row r="21">
      <c r="A21" s="5" t="inlineStr"/>
    </row>
    <row r="22">
      <c r="A22" s="5" t="inlineStr">
        <is>
          <t>Warum zwei Tickerformen? Bloomberg fuehrt abgelaufene Kontrakte nur noch zweistellig (XBM13). Die einstellige Form (XBM3) zeigt immer auf den naechsten Kontrakt mit dieser Endziffer, bei alten Jahrgaengen also auf das falsche Jahrzehnt. Bei laufenden Kontrakten loest dagegen manchmal nur die einstellige Form auf.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2026-09-22T09:40:31Z</dcterms:created>
  <dcterms:modified xsi:type="dcterms:W3CDTF">2026-09-22T09:40:31Z</dcterms:modified>
</cp:coreProperties>
</file>